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ucyi_Lab_D/EEG-fMRI_directory/derivatives/quality-metrics/EEG/"/>
    </mc:Choice>
  </mc:AlternateContent>
  <xr:revisionPtr revIDLastSave="0" documentId="13_ncr:1_{54CF53C5-EF09-C645-A227-7C0F04F6355A}" xr6:coauthVersionLast="47" xr6:coauthVersionMax="47" xr10:uidLastSave="{00000000-0000-0000-0000-000000000000}"/>
  <bookViews>
    <workbookView xWindow="0" yWindow="720" windowWidth="29400" windowHeight="18400" xr2:uid="{0C859098-DF82-2B4A-94F2-9FEAB7C6B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" i="1" l="1"/>
  <c r="G186" i="1"/>
  <c r="G187" i="1"/>
  <c r="G188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F190" i="1" s="1"/>
  <c r="F191" i="1" s="1"/>
  <c r="I191" i="1"/>
</calcChain>
</file>

<file path=xl/sharedStrings.xml><?xml version="1.0" encoding="utf-8"?>
<sst xmlns="http://schemas.openxmlformats.org/spreadsheetml/2006/main" count="322" uniqueCount="85">
  <si>
    <t># removedchans</t>
  </si>
  <si>
    <t>chan_locs</t>
  </si>
  <si>
    <t>% good data</t>
  </si>
  <si>
    <t># bounds</t>
  </si>
  <si>
    <t>time (secs) remain</t>
  </si>
  <si>
    <t>sub</t>
  </si>
  <si>
    <t>ses</t>
  </si>
  <si>
    <t>task</t>
  </si>
  <si>
    <t>run</t>
  </si>
  <si>
    <t>ES</t>
  </si>
  <si>
    <t>ECG, CWL1, CWL2, CWL3, CWL4, FC5</t>
  </si>
  <si>
    <t>244 seconds</t>
  </si>
  <si>
    <t>111 boundary (break) events added</t>
  </si>
  <si>
    <t>ECG, CWL1, CWL2, CWL3, CWL4, F3, F8, FC5, FC6</t>
  </si>
  <si>
    <t>ECG, CWL1, CWL2, CWL3, CWL4, F3, F4, FC5</t>
  </si>
  <si>
    <t>GradCPT</t>
  </si>
  <si>
    <t>ECG, CWL1, CWL2, CWL3, CWL4, FC5, FC6</t>
  </si>
  <si>
    <t>ECG, CWL1, CWL2, CWL3, CWL4, Fp1, Fp2, F4, FC5</t>
  </si>
  <si>
    <t>ECG, CWL1, CWL2, CWL3, CWL4</t>
  </si>
  <si>
    <t>ECG, CWL1, CWL2, CWL3, CWL4, Fp2, F7, FC6</t>
  </si>
  <si>
    <t>ECG, CWL1, CWL2, CWL3, CWL4, Fp2, F4, F7, F8, FC6</t>
  </si>
  <si>
    <t>ECG, CWL1, CWL2, CWL3, CWL4, T8</t>
  </si>
  <si>
    <t>ECG, CWL1, CWL2, CWL3, CWL4, O2, T8</t>
  </si>
  <si>
    <t>ECG, CWL1, CWL2, CWL3, CWL4, Fp1, T8</t>
  </si>
  <si>
    <t>ECG, CWL1, CWL2, CWL3, CWL4, Fp1, T7, CP2</t>
  </si>
  <si>
    <t>ECG, CWL1, CWL2, CWL3, CWL4, Fp1, Fp2, F7</t>
  </si>
  <si>
    <t>ECG, CWL1, CWL2, CWL3, CWL4, F4</t>
  </si>
  <si>
    <t>ECG, CWL1, CWL2, CWL3, CWL4, Fp1, Fp2, F4, F7</t>
  </si>
  <si>
    <t>ECG, CWL1, CWL2, CWL3, CWL4, FC1</t>
  </si>
  <si>
    <t>ECG, CWL1, CWL2, CWL3, CWL4, Fp1, Fp2, F3, F4, F7, F8, FC5</t>
  </si>
  <si>
    <t>ECG, CWL1, CWL2, CWL3, CWL4, F7, F8, T7, T8, FC5, FC6</t>
  </si>
  <si>
    <t>ECG, CWL1, CWL2, CWL3, CWL4, T7, FC5</t>
  </si>
  <si>
    <t>ECG, CWL1, CWL2, CWL3, CWL4, F7, T7, FC5</t>
  </si>
  <si>
    <t>ECG, CWL1, CWL2, CWL3, CWL4, O1, T8</t>
  </si>
  <si>
    <t>CG, CWL1, CWL2, CWL3, CWL4, T8</t>
  </si>
  <si>
    <t>ECG, CWL1, CWL2, CWL3, CWL4, F8, T7, T8, FC5, FC6, TP9</t>
  </si>
  <si>
    <t>ECG, CWL1, CWL2, CWL3, CWL4, T7, T8, FC6</t>
  </si>
  <si>
    <t>ECG, CWL1, CWL2, CWL3, CWL4, F8, T7, T8, FC6</t>
  </si>
  <si>
    <t>ECG, CWL1, CWL2, CWL3, CWL4, F4, F8, T7, T8, FC6</t>
  </si>
  <si>
    <t>ECG, CWL1, CWL2, CWL3, CWL4, T7</t>
  </si>
  <si>
    <t>CG, CWL1, CWL2, CWL3, CWL4, Fp1, Fp2</t>
  </si>
  <si>
    <t>ECG, CWL1, CWL2, CWL3, CWL4, Fp1, Fp2, T8</t>
  </si>
  <si>
    <t>ECG, CWL1, CWL2, CWL3, CWL4, Cz</t>
  </si>
  <si>
    <t>ECG, CWL1, CWL2, CWL3, CWL4, Fz</t>
  </si>
  <si>
    <t>ECG, CWL1, CWL2, CWL3, CWL4, Fp1, Fp2, F4</t>
  </si>
  <si>
    <t>ECG, CWL1, CWL2, CWL3, CWL4, T7, T8</t>
  </si>
  <si>
    <t>ECG, CWL1, CWL2, CWL3, CWL4, Fp1, F7</t>
  </si>
  <si>
    <t>ECG, CWL1, CWL2, CWL3, CWL4, Fp1, Fp2, T7, T8</t>
  </si>
  <si>
    <t>ECG, CWL1, CWL2, CWL3, CWL4, Fp2, F4</t>
  </si>
  <si>
    <t>ECG, CWL1, CWL2, CWL3, CWL4, CP1</t>
  </si>
  <si>
    <t>ECG, CWL1, CWL2, CWL3, CWL4, F7, FC5</t>
  </si>
  <si>
    <t>ECG, CWL1, CWL2, CWL3, CWL4, F3, F7, CP1</t>
  </si>
  <si>
    <t>ECG, CWL1, CWL2, CWL3, CWL4, F7</t>
  </si>
  <si>
    <t>ECG, CWL1, CWL2, CWL3, CWL4, F3, F7, T7</t>
  </si>
  <si>
    <t>ECG, CWL1, CWL2, CWL3, CWL4, C4, T8, FC6, CP6</t>
  </si>
  <si>
    <t>ECG, CWL1, CWL2, CWL3, CWL4, C4</t>
  </si>
  <si>
    <t>ECG, CWL1, CWL2, CWL3, CWL4, C4, FC6</t>
  </si>
  <si>
    <t>ECG, CWL1, CWL2, CWL3, CWL4, FC2</t>
  </si>
  <si>
    <t>ECG, CWL1, CWL2, CWL3, CWL4, Cz, FC5</t>
  </si>
  <si>
    <t>ECG, CWL1, CWL2, CWL3, CWL4, Fp1, Fp2, F7, T8</t>
  </si>
  <si>
    <t>ECG, CWL1, CWL2, CWL3, CWL4, T7, FC5, CP5</t>
  </si>
  <si>
    <t>ECG, CWL1, CWL2, CWL3, CWL4, Fp1, F7, T7, FC5</t>
  </si>
  <si>
    <t>ECG, CWL1, CWL2, CWL3, CWL4, Fp1</t>
  </si>
  <si>
    <t>ECG, CWL1, CWL2, CWL3, CWL4, Fp1, F7, T8</t>
  </si>
  <si>
    <t>ECG, CWL1, CWL2, CWL3, CWL4, Fp2, T8</t>
  </si>
  <si>
    <t>ECG, CWL1, CWL2, CWL3, CWL4, T7, FC1, FC5</t>
  </si>
  <si>
    <t>ECG, CWL1, CWL2, CWL3, CWL4, O2, FC1, FC5</t>
  </si>
  <si>
    <t>ECG, CWL1, CWL2, CWL3, CWL4, C3, FC5</t>
  </si>
  <si>
    <t>ECG, CWL1, CWL2, CWL3, CWL4, Cz, CP1</t>
  </si>
  <si>
    <t>ECG, CWL1, CWL2, CWL3, CWL4, T8, Cz</t>
  </si>
  <si>
    <t>ECG, CWL1, CWL2, CWL3, CWL4, T7, T8, CP6</t>
  </si>
  <si>
    <t>ECG, CWL1, CWL2, CWL3, CWL4, Fp2</t>
  </si>
  <si>
    <t>ECG, CWL1, CWL2, CWL3, CWL4, T8, CP2, CP6</t>
  </si>
  <si>
    <t>ECG, CWL1, CWL2, CWL3, CWL4, T8, CP6</t>
  </si>
  <si>
    <t>ECG, CWL1, CWL2, CWL3, CWL4, FC1, CP2</t>
  </si>
  <si>
    <t>ECG, CWL1, CWL2, CWL3, CWL4, TP10</t>
  </si>
  <si>
    <t>ECG, CWL1, CWL2, CWL3, CWL4, T7, TP10</t>
  </si>
  <si>
    <t>ECG, CWL1, CWL2, CWL3, CWL4, Fp2, C4, FC5</t>
  </si>
  <si>
    <t>ECG, CWL1, CWL2, CWL3, CWL4, C4, FC5</t>
  </si>
  <si>
    <t>ECG, CWL1, CWL2, CWL3, CWL4, CP1, CP2</t>
  </si>
  <si>
    <t>ECG, CWL1, CWL2, CWL3, CWL4, T7, CP1, CP2</t>
  </si>
  <si>
    <t>TOTAL</t>
  </si>
  <si>
    <t>good chans</t>
  </si>
  <si>
    <t>% good chans</t>
  </si>
  <si>
    <t>%brain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</si>
</sst>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F3DA-616C-0842-84A6-8BADD60E55B3}">
  <dimension ref="A1:L191"/>
  <sheetViews>
    <sheetView tabSelected="1" topLeftCell="A159" workbookViewId="0">
      <selection activeCell="K192" sqref="K192"/>
    </sheetView>
  </sheetViews>
  <sheetFormatPr baseColWidth="10" defaultRowHeight="16" x14ac:dyDescent="0.2"/>
  <cols>
    <col min="5" max="7" width="14.6640625" customWidth="1"/>
    <col min="8" max="8" width="45.83203125" customWidth="1"/>
    <col min="9" max="9" width="18.6640625" customWidth="1"/>
    <col min="10" max="10" width="23.5" customWidth="1"/>
  </cols>
  <sheetData>
    <row r="1" spans="1:12" x14ac:dyDescent="0.2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82</v>
      </c>
      <c r="G1" t="s">
        <v>83</v>
      </c>
      <c r="H1" t="s">
        <v>1</v>
      </c>
      <c r="I1" t="s">
        <v>2</v>
      </c>
      <c r="J1" t="s">
        <v>4</v>
      </c>
      <c r="K1" t="s">
        <v>3</v>
      </c>
      <c r="L1" t="s">
        <v>84</v>
      </c>
    </row>
    <row r="2" spans="1:12" x14ac:dyDescent="0.2">
      <c r="A2" s="1">
        <v>1</v>
      </c>
      <c r="B2" s="1">
        <v>1</v>
      </c>
      <c r="C2" s="1" t="s">
        <v>9</v>
      </c>
      <c r="D2" s="1">
        <v>1</v>
      </c>
      <c r="E2">
        <v>1</v>
      </c>
      <c r="F2">
        <f>SUM(32-E2)</f>
        <v>31</v>
      </c>
      <c r="G2">
        <f>SUM(F2/32)</f>
        <v>0.96875</v>
      </c>
      <c r="H2" s="2" t="s">
        <v>10</v>
      </c>
      <c r="I2">
        <v>40.4</v>
      </c>
      <c r="J2" s="2" t="s">
        <v>11</v>
      </c>
      <c r="K2" s="2" t="s">
        <v>12</v>
      </c>
      <c r="L2" s="5">
        <v>0.44247787610619471</v>
      </c>
    </row>
    <row r="3" spans="1:12" x14ac:dyDescent="0.2">
      <c r="A3">
        <v>1</v>
      </c>
      <c r="B3">
        <v>1</v>
      </c>
      <c r="C3" t="s">
        <v>9</v>
      </c>
      <c r="D3">
        <v>2</v>
      </c>
      <c r="E3">
        <v>4</v>
      </c>
      <c r="F3">
        <f t="shared" ref="F3:F66" si="0">SUM(32-E3)</f>
        <v>28</v>
      </c>
      <c r="G3">
        <f t="shared" ref="G3:G66" si="1">SUM(F3/32)</f>
        <v>0.875</v>
      </c>
      <c r="H3" s="3" t="s">
        <v>13</v>
      </c>
      <c r="I3">
        <v>46.4</v>
      </c>
      <c r="J3">
        <v>277</v>
      </c>
      <c r="K3">
        <v>110</v>
      </c>
      <c r="L3" s="5"/>
    </row>
    <row r="4" spans="1:12" x14ac:dyDescent="0.2">
      <c r="A4">
        <v>1</v>
      </c>
      <c r="B4">
        <v>1</v>
      </c>
      <c r="C4" t="s">
        <v>9</v>
      </c>
      <c r="D4">
        <v>3</v>
      </c>
      <c r="E4">
        <v>3</v>
      </c>
      <c r="F4">
        <f t="shared" si="0"/>
        <v>29</v>
      </c>
      <c r="G4">
        <f t="shared" si="1"/>
        <v>0.90625</v>
      </c>
      <c r="H4" s="2" t="s">
        <v>14</v>
      </c>
      <c r="I4">
        <v>53.5</v>
      </c>
      <c r="J4">
        <v>300</v>
      </c>
      <c r="K4">
        <v>94</v>
      </c>
      <c r="L4" s="5"/>
    </row>
    <row r="5" spans="1:12" x14ac:dyDescent="0.2">
      <c r="A5">
        <v>1</v>
      </c>
      <c r="B5">
        <v>1</v>
      </c>
      <c r="C5" t="s">
        <v>15</v>
      </c>
      <c r="D5">
        <v>1</v>
      </c>
      <c r="E5">
        <v>3</v>
      </c>
      <c r="F5">
        <f t="shared" si="0"/>
        <v>29</v>
      </c>
      <c r="G5">
        <f t="shared" si="1"/>
        <v>0.90625</v>
      </c>
      <c r="H5" s="2" t="s">
        <v>14</v>
      </c>
      <c r="I5">
        <v>65.5</v>
      </c>
      <c r="J5">
        <v>414</v>
      </c>
      <c r="K5">
        <v>87</v>
      </c>
      <c r="L5" s="5"/>
    </row>
    <row r="6" spans="1:12" x14ac:dyDescent="0.2">
      <c r="A6">
        <v>1</v>
      </c>
      <c r="B6">
        <v>2</v>
      </c>
      <c r="C6" t="s">
        <v>9</v>
      </c>
      <c r="D6">
        <v>1</v>
      </c>
      <c r="E6">
        <v>1</v>
      </c>
      <c r="F6">
        <f t="shared" si="0"/>
        <v>31</v>
      </c>
      <c r="G6">
        <f t="shared" si="1"/>
        <v>0.96875</v>
      </c>
      <c r="H6" s="2" t="s">
        <v>10</v>
      </c>
      <c r="I6">
        <v>71.7</v>
      </c>
      <c r="J6">
        <v>416</v>
      </c>
      <c r="K6">
        <v>0</v>
      </c>
      <c r="L6" s="5">
        <v>0.5130434782608696</v>
      </c>
    </row>
    <row r="7" spans="1:12" x14ac:dyDescent="0.2">
      <c r="A7">
        <v>1</v>
      </c>
      <c r="B7">
        <v>2</v>
      </c>
      <c r="C7" t="s">
        <v>9</v>
      </c>
      <c r="D7">
        <v>2</v>
      </c>
      <c r="E7">
        <v>2</v>
      </c>
      <c r="F7">
        <f t="shared" si="0"/>
        <v>30</v>
      </c>
      <c r="G7">
        <f t="shared" si="1"/>
        <v>0.9375</v>
      </c>
      <c r="H7" s="2" t="s">
        <v>16</v>
      </c>
      <c r="I7">
        <v>50.5</v>
      </c>
      <c r="J7">
        <v>276</v>
      </c>
      <c r="K7">
        <v>88</v>
      </c>
      <c r="L7" s="5"/>
    </row>
    <row r="8" spans="1:12" x14ac:dyDescent="0.2">
      <c r="A8">
        <v>1</v>
      </c>
      <c r="B8">
        <v>2</v>
      </c>
      <c r="C8" t="s">
        <v>9</v>
      </c>
      <c r="D8">
        <v>3</v>
      </c>
      <c r="E8">
        <v>2</v>
      </c>
      <c r="F8">
        <f t="shared" si="0"/>
        <v>30</v>
      </c>
      <c r="G8">
        <f t="shared" si="1"/>
        <v>0.9375</v>
      </c>
      <c r="H8" s="3" t="s">
        <v>16</v>
      </c>
      <c r="I8">
        <v>58.8</v>
      </c>
      <c r="J8">
        <v>305</v>
      </c>
      <c r="K8">
        <v>89</v>
      </c>
      <c r="L8" s="5"/>
    </row>
    <row r="9" spans="1:12" x14ac:dyDescent="0.2">
      <c r="A9">
        <v>1</v>
      </c>
      <c r="B9">
        <v>2</v>
      </c>
      <c r="C9" t="s">
        <v>15</v>
      </c>
      <c r="D9">
        <v>1</v>
      </c>
      <c r="E9">
        <v>4</v>
      </c>
      <c r="F9">
        <f t="shared" si="0"/>
        <v>28</v>
      </c>
      <c r="G9">
        <f t="shared" si="1"/>
        <v>0.875</v>
      </c>
      <c r="H9" s="3" t="s">
        <v>17</v>
      </c>
      <c r="I9">
        <v>80.3</v>
      </c>
      <c r="J9">
        <v>449</v>
      </c>
      <c r="K9">
        <v>38</v>
      </c>
      <c r="L9" s="5"/>
    </row>
    <row r="10" spans="1:12" x14ac:dyDescent="0.2">
      <c r="A10">
        <v>2</v>
      </c>
      <c r="B10">
        <v>1</v>
      </c>
      <c r="C10" t="s">
        <v>9</v>
      </c>
      <c r="D10">
        <v>1</v>
      </c>
      <c r="E10">
        <v>1</v>
      </c>
      <c r="F10">
        <f t="shared" si="0"/>
        <v>31</v>
      </c>
      <c r="G10">
        <f t="shared" si="1"/>
        <v>0.96875</v>
      </c>
      <c r="H10" t="s">
        <v>10</v>
      </c>
      <c r="I10">
        <v>65.5</v>
      </c>
      <c r="J10">
        <v>436</v>
      </c>
      <c r="K10">
        <v>93</v>
      </c>
      <c r="L10" s="5">
        <v>0.4152542372881356</v>
      </c>
    </row>
    <row r="11" spans="1:12" x14ac:dyDescent="0.2">
      <c r="A11">
        <v>2</v>
      </c>
      <c r="B11">
        <v>1</v>
      </c>
      <c r="C11" t="s">
        <v>9</v>
      </c>
      <c r="D11">
        <v>2</v>
      </c>
      <c r="E11">
        <v>0</v>
      </c>
      <c r="F11">
        <f t="shared" si="0"/>
        <v>32</v>
      </c>
      <c r="G11">
        <f t="shared" si="1"/>
        <v>1</v>
      </c>
      <c r="H11" t="s">
        <v>18</v>
      </c>
      <c r="I11">
        <v>65.8</v>
      </c>
      <c r="J11">
        <v>416</v>
      </c>
      <c r="K11">
        <v>84</v>
      </c>
      <c r="L11" s="5"/>
    </row>
    <row r="12" spans="1:12" x14ac:dyDescent="0.2">
      <c r="A12">
        <v>2</v>
      </c>
      <c r="B12">
        <v>1</v>
      </c>
      <c r="C12" t="s">
        <v>9</v>
      </c>
      <c r="D12">
        <v>3</v>
      </c>
      <c r="E12">
        <v>1</v>
      </c>
      <c r="F12">
        <f t="shared" si="0"/>
        <v>31</v>
      </c>
      <c r="G12">
        <f t="shared" si="1"/>
        <v>0.96875</v>
      </c>
      <c r="H12" t="s">
        <v>10</v>
      </c>
      <c r="I12">
        <v>61.1</v>
      </c>
      <c r="J12">
        <v>377</v>
      </c>
      <c r="K12">
        <v>84</v>
      </c>
      <c r="L12" s="5"/>
    </row>
    <row r="13" spans="1:12" x14ac:dyDescent="0.2">
      <c r="A13">
        <v>2</v>
      </c>
      <c r="B13">
        <v>1</v>
      </c>
      <c r="C13" t="s">
        <v>15</v>
      </c>
      <c r="D13">
        <v>1</v>
      </c>
      <c r="E13">
        <v>3</v>
      </c>
      <c r="F13">
        <f t="shared" si="0"/>
        <v>29</v>
      </c>
      <c r="G13">
        <f t="shared" si="1"/>
        <v>0.90625</v>
      </c>
      <c r="H13" t="s">
        <v>19</v>
      </c>
      <c r="I13">
        <v>75.400000000000006</v>
      </c>
      <c r="J13">
        <v>417</v>
      </c>
      <c r="K13">
        <v>32</v>
      </c>
      <c r="L13" s="5"/>
    </row>
    <row r="14" spans="1:12" x14ac:dyDescent="0.2">
      <c r="A14">
        <v>2</v>
      </c>
      <c r="B14">
        <v>2</v>
      </c>
      <c r="C14" t="s">
        <v>9</v>
      </c>
      <c r="D14">
        <v>1</v>
      </c>
      <c r="E14">
        <v>0</v>
      </c>
      <c r="F14">
        <f t="shared" si="0"/>
        <v>32</v>
      </c>
      <c r="G14">
        <f t="shared" si="1"/>
        <v>1</v>
      </c>
      <c r="H14" t="s">
        <v>18</v>
      </c>
      <c r="I14">
        <v>37.9</v>
      </c>
      <c r="J14">
        <v>240</v>
      </c>
      <c r="K14">
        <v>167</v>
      </c>
      <c r="L14" s="5">
        <v>0.47413793103448276</v>
      </c>
    </row>
    <row r="15" spans="1:12" x14ac:dyDescent="0.2">
      <c r="A15">
        <v>2</v>
      </c>
      <c r="B15">
        <v>2</v>
      </c>
      <c r="C15" t="s">
        <v>9</v>
      </c>
      <c r="D15">
        <v>2</v>
      </c>
      <c r="E15">
        <v>0</v>
      </c>
      <c r="F15">
        <f t="shared" si="0"/>
        <v>32</v>
      </c>
      <c r="G15">
        <f t="shared" si="1"/>
        <v>1</v>
      </c>
      <c r="I15">
        <v>51.9</v>
      </c>
      <c r="J15">
        <v>343</v>
      </c>
      <c r="K15">
        <v>110</v>
      </c>
      <c r="L15" s="5"/>
    </row>
    <row r="16" spans="1:12" x14ac:dyDescent="0.2">
      <c r="A16">
        <v>2</v>
      </c>
      <c r="B16">
        <v>2</v>
      </c>
      <c r="C16" t="s">
        <v>9</v>
      </c>
      <c r="D16">
        <v>3</v>
      </c>
      <c r="E16">
        <v>0</v>
      </c>
      <c r="F16">
        <f t="shared" si="0"/>
        <v>32</v>
      </c>
      <c r="G16">
        <f t="shared" si="1"/>
        <v>1</v>
      </c>
      <c r="I16">
        <v>51.1</v>
      </c>
      <c r="J16">
        <v>319</v>
      </c>
      <c r="K16">
        <v>136</v>
      </c>
      <c r="L16" s="5"/>
    </row>
    <row r="17" spans="1:12" x14ac:dyDescent="0.2">
      <c r="A17">
        <v>2</v>
      </c>
      <c r="B17">
        <v>2</v>
      </c>
      <c r="C17" t="s">
        <v>15</v>
      </c>
      <c r="D17">
        <v>1</v>
      </c>
      <c r="E17">
        <v>5</v>
      </c>
      <c r="F17">
        <f t="shared" si="0"/>
        <v>27</v>
      </c>
      <c r="G17">
        <f t="shared" si="1"/>
        <v>0.84375</v>
      </c>
      <c r="H17" t="s">
        <v>20</v>
      </c>
      <c r="I17">
        <v>70.5</v>
      </c>
      <c r="J17">
        <v>393</v>
      </c>
      <c r="K17">
        <v>52</v>
      </c>
      <c r="L17" s="5"/>
    </row>
    <row r="18" spans="1:12" x14ac:dyDescent="0.2">
      <c r="A18">
        <v>3</v>
      </c>
      <c r="B18">
        <v>1</v>
      </c>
      <c r="C18" t="s">
        <v>9</v>
      </c>
      <c r="D18">
        <v>1</v>
      </c>
      <c r="E18">
        <v>1</v>
      </c>
      <c r="F18">
        <f t="shared" si="0"/>
        <v>31</v>
      </c>
      <c r="G18">
        <f t="shared" si="1"/>
        <v>0.96875</v>
      </c>
      <c r="H18" t="s">
        <v>21</v>
      </c>
      <c r="I18">
        <v>68.400000000000006</v>
      </c>
      <c r="J18">
        <v>504</v>
      </c>
      <c r="K18">
        <v>98</v>
      </c>
      <c r="L18" s="5">
        <v>0.40909090909090912</v>
      </c>
    </row>
    <row r="19" spans="1:12" x14ac:dyDescent="0.2">
      <c r="A19">
        <v>3</v>
      </c>
      <c r="B19">
        <v>1</v>
      </c>
      <c r="C19" t="s">
        <v>9</v>
      </c>
      <c r="D19">
        <v>2</v>
      </c>
      <c r="E19">
        <v>2</v>
      </c>
      <c r="F19">
        <f t="shared" si="0"/>
        <v>30</v>
      </c>
      <c r="G19">
        <f t="shared" si="1"/>
        <v>0.9375</v>
      </c>
      <c r="H19" t="s">
        <v>22</v>
      </c>
      <c r="I19">
        <v>64.599999999999994</v>
      </c>
      <c r="J19">
        <v>432</v>
      </c>
      <c r="K19">
        <v>85</v>
      </c>
      <c r="L19" s="5"/>
    </row>
    <row r="20" spans="1:12" x14ac:dyDescent="0.2">
      <c r="A20">
        <v>3</v>
      </c>
      <c r="B20">
        <v>1</v>
      </c>
      <c r="C20" t="s">
        <v>15</v>
      </c>
      <c r="D20">
        <v>1</v>
      </c>
      <c r="E20">
        <v>2</v>
      </c>
      <c r="F20">
        <f t="shared" si="0"/>
        <v>30</v>
      </c>
      <c r="G20">
        <f t="shared" si="1"/>
        <v>0.9375</v>
      </c>
      <c r="H20" t="s">
        <v>23</v>
      </c>
      <c r="I20">
        <v>78.400000000000006</v>
      </c>
      <c r="J20">
        <v>397</v>
      </c>
      <c r="K20">
        <v>19</v>
      </c>
      <c r="L20" s="5"/>
    </row>
    <row r="21" spans="1:12" x14ac:dyDescent="0.2">
      <c r="A21">
        <v>3</v>
      </c>
      <c r="B21">
        <v>2</v>
      </c>
      <c r="C21" t="s">
        <v>9</v>
      </c>
      <c r="D21">
        <v>1</v>
      </c>
      <c r="E21">
        <v>1</v>
      </c>
      <c r="F21">
        <f t="shared" si="0"/>
        <v>31</v>
      </c>
      <c r="G21">
        <f t="shared" si="1"/>
        <v>0.96875</v>
      </c>
      <c r="H21" t="s">
        <v>21</v>
      </c>
      <c r="I21">
        <v>54.2</v>
      </c>
      <c r="J21">
        <v>383</v>
      </c>
      <c r="K21">
        <v>109</v>
      </c>
      <c r="L21" s="5">
        <v>0.36440677966101692</v>
      </c>
    </row>
    <row r="22" spans="1:12" x14ac:dyDescent="0.2">
      <c r="A22">
        <v>3</v>
      </c>
      <c r="B22">
        <v>2</v>
      </c>
      <c r="C22" t="s">
        <v>9</v>
      </c>
      <c r="D22">
        <v>2</v>
      </c>
      <c r="E22">
        <v>0</v>
      </c>
      <c r="F22">
        <f t="shared" si="0"/>
        <v>32</v>
      </c>
      <c r="G22">
        <f t="shared" si="1"/>
        <v>1</v>
      </c>
      <c r="I22">
        <v>54.5</v>
      </c>
      <c r="J22">
        <v>349</v>
      </c>
      <c r="K22">
        <v>81</v>
      </c>
      <c r="L22" s="5"/>
    </row>
    <row r="23" spans="1:12" x14ac:dyDescent="0.2">
      <c r="A23">
        <v>3</v>
      </c>
      <c r="B23">
        <v>2</v>
      </c>
      <c r="C23" t="s">
        <v>9</v>
      </c>
      <c r="D23">
        <v>3</v>
      </c>
      <c r="E23">
        <v>0</v>
      </c>
      <c r="F23">
        <f t="shared" si="0"/>
        <v>32</v>
      </c>
      <c r="G23">
        <f t="shared" si="1"/>
        <v>1</v>
      </c>
      <c r="I23">
        <v>60.6</v>
      </c>
      <c r="J23">
        <v>400</v>
      </c>
      <c r="K23">
        <v>93</v>
      </c>
      <c r="L23" s="5"/>
    </row>
    <row r="24" spans="1:12" x14ac:dyDescent="0.2">
      <c r="A24">
        <v>3</v>
      </c>
      <c r="B24">
        <v>2</v>
      </c>
      <c r="C24" t="s">
        <v>15</v>
      </c>
      <c r="D24">
        <v>1</v>
      </c>
      <c r="E24">
        <v>3</v>
      </c>
      <c r="F24">
        <f t="shared" si="0"/>
        <v>29</v>
      </c>
      <c r="G24">
        <f t="shared" si="1"/>
        <v>0.90625</v>
      </c>
      <c r="H24" t="s">
        <v>24</v>
      </c>
      <c r="I24">
        <v>82.1</v>
      </c>
      <c r="J24">
        <v>465</v>
      </c>
      <c r="K24">
        <v>13</v>
      </c>
      <c r="L24" s="5"/>
    </row>
    <row r="25" spans="1:12" x14ac:dyDescent="0.2">
      <c r="A25">
        <v>4</v>
      </c>
      <c r="B25">
        <v>1</v>
      </c>
      <c r="C25" t="s">
        <v>9</v>
      </c>
      <c r="D25">
        <v>1</v>
      </c>
      <c r="E25">
        <v>3</v>
      </c>
      <c r="F25">
        <f t="shared" si="0"/>
        <v>29</v>
      </c>
      <c r="G25">
        <f t="shared" si="1"/>
        <v>0.90625</v>
      </c>
      <c r="H25" t="s">
        <v>25</v>
      </c>
      <c r="I25">
        <v>50.2</v>
      </c>
      <c r="J25">
        <v>333</v>
      </c>
      <c r="K25">
        <v>119</v>
      </c>
      <c r="L25" s="5">
        <v>0.43478260869565216</v>
      </c>
    </row>
    <row r="26" spans="1:12" x14ac:dyDescent="0.2">
      <c r="A26">
        <v>4</v>
      </c>
      <c r="B26">
        <v>1</v>
      </c>
      <c r="C26" t="s">
        <v>9</v>
      </c>
      <c r="D26">
        <v>2</v>
      </c>
      <c r="E26">
        <v>0</v>
      </c>
      <c r="F26">
        <f t="shared" si="0"/>
        <v>32</v>
      </c>
      <c r="G26">
        <f t="shared" si="1"/>
        <v>1</v>
      </c>
      <c r="I26">
        <v>40.799999999999997</v>
      </c>
      <c r="J26">
        <v>273</v>
      </c>
      <c r="K26">
        <v>118</v>
      </c>
      <c r="L26" s="5"/>
    </row>
    <row r="27" spans="1:12" x14ac:dyDescent="0.2">
      <c r="A27">
        <v>4</v>
      </c>
      <c r="B27">
        <v>1</v>
      </c>
      <c r="C27" t="s">
        <v>9</v>
      </c>
      <c r="D27">
        <v>3</v>
      </c>
      <c r="E27">
        <v>1</v>
      </c>
      <c r="F27">
        <f t="shared" si="0"/>
        <v>31</v>
      </c>
      <c r="G27">
        <f t="shared" si="1"/>
        <v>0.96875</v>
      </c>
      <c r="H27" t="s">
        <v>26</v>
      </c>
      <c r="I27">
        <v>34.6</v>
      </c>
      <c r="J27">
        <v>231</v>
      </c>
      <c r="K27">
        <v>102</v>
      </c>
      <c r="L27" s="5"/>
    </row>
    <row r="28" spans="1:12" x14ac:dyDescent="0.2">
      <c r="A28">
        <v>4</v>
      </c>
      <c r="B28">
        <v>1</v>
      </c>
      <c r="C28" t="s">
        <v>15</v>
      </c>
      <c r="D28">
        <v>1</v>
      </c>
      <c r="E28">
        <v>4</v>
      </c>
      <c r="F28">
        <f>SUM(32-E28)</f>
        <v>28</v>
      </c>
      <c r="G28">
        <f>SUM(F28/32)</f>
        <v>0.875</v>
      </c>
      <c r="H28" t="s">
        <v>27</v>
      </c>
      <c r="I28">
        <v>78.900000000000006</v>
      </c>
      <c r="J28">
        <v>445</v>
      </c>
      <c r="K28">
        <v>49</v>
      </c>
      <c r="L28" s="5"/>
    </row>
    <row r="29" spans="1:12" x14ac:dyDescent="0.2">
      <c r="A29">
        <v>4</v>
      </c>
      <c r="B29">
        <v>2</v>
      </c>
      <c r="C29" t="s">
        <v>9</v>
      </c>
      <c r="D29">
        <v>1</v>
      </c>
      <c r="E29">
        <v>1</v>
      </c>
      <c r="F29">
        <f t="shared" si="0"/>
        <v>31</v>
      </c>
      <c r="G29">
        <f t="shared" si="1"/>
        <v>0.96875</v>
      </c>
      <c r="H29" t="s">
        <v>28</v>
      </c>
      <c r="I29">
        <v>43.4</v>
      </c>
      <c r="J29">
        <v>262</v>
      </c>
      <c r="K29">
        <v>115</v>
      </c>
      <c r="L29" s="5">
        <v>0.39473684210526316</v>
      </c>
    </row>
    <row r="30" spans="1:12" x14ac:dyDescent="0.2">
      <c r="A30">
        <v>4</v>
      </c>
      <c r="B30">
        <v>2</v>
      </c>
      <c r="C30" t="s">
        <v>9</v>
      </c>
      <c r="D30">
        <v>2</v>
      </c>
      <c r="E30">
        <v>0</v>
      </c>
      <c r="F30">
        <f t="shared" si="0"/>
        <v>32</v>
      </c>
      <c r="G30">
        <f t="shared" si="1"/>
        <v>1</v>
      </c>
      <c r="I30">
        <v>31.1</v>
      </c>
      <c r="J30">
        <v>192</v>
      </c>
      <c r="K30">
        <v>101</v>
      </c>
      <c r="L30" s="5"/>
    </row>
    <row r="31" spans="1:12" x14ac:dyDescent="0.2">
      <c r="A31">
        <v>4</v>
      </c>
      <c r="B31">
        <v>2</v>
      </c>
      <c r="C31" t="s">
        <v>9</v>
      </c>
      <c r="D31">
        <v>3</v>
      </c>
      <c r="E31">
        <v>0</v>
      </c>
      <c r="F31">
        <f t="shared" si="0"/>
        <v>32</v>
      </c>
      <c r="G31">
        <f t="shared" si="1"/>
        <v>1</v>
      </c>
      <c r="I31">
        <v>34.200000000000003</v>
      </c>
      <c r="J31">
        <v>214</v>
      </c>
      <c r="K31">
        <v>106</v>
      </c>
      <c r="L31" s="5"/>
    </row>
    <row r="32" spans="1:12" x14ac:dyDescent="0.2">
      <c r="A32">
        <v>4</v>
      </c>
      <c r="B32">
        <v>2</v>
      </c>
      <c r="C32" t="s">
        <v>15</v>
      </c>
      <c r="D32">
        <v>1</v>
      </c>
      <c r="E32">
        <v>7</v>
      </c>
      <c r="F32">
        <f t="shared" si="0"/>
        <v>25</v>
      </c>
      <c r="G32">
        <f t="shared" si="1"/>
        <v>0.78125</v>
      </c>
      <c r="H32" t="s">
        <v>29</v>
      </c>
      <c r="I32">
        <v>75.599999999999994</v>
      </c>
      <c r="J32">
        <v>434</v>
      </c>
      <c r="K32">
        <v>62</v>
      </c>
      <c r="L32" s="5"/>
    </row>
    <row r="33" spans="1:12" x14ac:dyDescent="0.2">
      <c r="A33">
        <v>5</v>
      </c>
      <c r="B33">
        <v>1</v>
      </c>
      <c r="C33" t="s">
        <v>9</v>
      </c>
      <c r="D33">
        <v>1</v>
      </c>
      <c r="E33">
        <v>6</v>
      </c>
      <c r="F33">
        <f t="shared" si="0"/>
        <v>26</v>
      </c>
      <c r="G33">
        <f t="shared" si="1"/>
        <v>0.8125</v>
      </c>
      <c r="H33" t="s">
        <v>30</v>
      </c>
      <c r="I33">
        <v>50.9</v>
      </c>
      <c r="J33">
        <v>354</v>
      </c>
      <c r="K33">
        <v>128</v>
      </c>
      <c r="L33" s="5">
        <v>0.63551401869158874</v>
      </c>
    </row>
    <row r="34" spans="1:12" x14ac:dyDescent="0.2">
      <c r="A34">
        <v>5</v>
      </c>
      <c r="B34">
        <v>1</v>
      </c>
      <c r="C34" t="s">
        <v>9</v>
      </c>
      <c r="D34">
        <v>2</v>
      </c>
      <c r="E34">
        <v>6</v>
      </c>
      <c r="F34">
        <f t="shared" si="0"/>
        <v>26</v>
      </c>
      <c r="G34">
        <f t="shared" si="1"/>
        <v>0.8125</v>
      </c>
      <c r="H34" t="s">
        <v>30</v>
      </c>
      <c r="I34">
        <v>53.7</v>
      </c>
      <c r="J34">
        <v>359</v>
      </c>
      <c r="K34">
        <v>119</v>
      </c>
      <c r="L34" s="5"/>
    </row>
    <row r="35" spans="1:12" x14ac:dyDescent="0.2">
      <c r="A35">
        <v>5</v>
      </c>
      <c r="B35">
        <v>1</v>
      </c>
      <c r="C35" t="s">
        <v>9</v>
      </c>
      <c r="D35">
        <v>3</v>
      </c>
      <c r="E35">
        <v>2</v>
      </c>
      <c r="F35">
        <f t="shared" si="0"/>
        <v>30</v>
      </c>
      <c r="G35">
        <f t="shared" si="1"/>
        <v>0.9375</v>
      </c>
      <c r="H35" t="s">
        <v>31</v>
      </c>
      <c r="I35">
        <v>68.599999999999994</v>
      </c>
      <c r="J35">
        <v>430</v>
      </c>
      <c r="K35">
        <v>85</v>
      </c>
      <c r="L35" s="5"/>
    </row>
    <row r="36" spans="1:12" x14ac:dyDescent="0.2">
      <c r="A36">
        <v>5</v>
      </c>
      <c r="B36">
        <v>1</v>
      </c>
      <c r="C36" t="s">
        <v>15</v>
      </c>
      <c r="D36">
        <v>1</v>
      </c>
      <c r="E36">
        <v>3</v>
      </c>
      <c r="F36">
        <f t="shared" si="0"/>
        <v>29</v>
      </c>
      <c r="G36">
        <f t="shared" si="1"/>
        <v>0.90625</v>
      </c>
      <c r="H36" t="s">
        <v>32</v>
      </c>
      <c r="I36">
        <v>46.1</v>
      </c>
      <c r="J36">
        <v>269</v>
      </c>
      <c r="K36">
        <v>120</v>
      </c>
      <c r="L36" s="5"/>
    </row>
    <row r="37" spans="1:12" x14ac:dyDescent="0.2">
      <c r="A37">
        <v>6</v>
      </c>
      <c r="B37">
        <v>1</v>
      </c>
      <c r="C37" t="s">
        <v>9</v>
      </c>
      <c r="D37">
        <v>1</v>
      </c>
      <c r="E37">
        <v>2</v>
      </c>
      <c r="F37">
        <f t="shared" si="0"/>
        <v>30</v>
      </c>
      <c r="G37">
        <f t="shared" si="1"/>
        <v>0.9375</v>
      </c>
      <c r="H37" t="s">
        <v>33</v>
      </c>
      <c r="I37">
        <v>72.5</v>
      </c>
      <c r="J37">
        <v>518</v>
      </c>
      <c r="K37">
        <v>104</v>
      </c>
      <c r="L37" s="5">
        <v>0.65254237288135597</v>
      </c>
    </row>
    <row r="38" spans="1:12" x14ac:dyDescent="0.2">
      <c r="A38">
        <v>6</v>
      </c>
      <c r="B38">
        <v>1</v>
      </c>
      <c r="C38" t="s">
        <v>9</v>
      </c>
      <c r="D38">
        <v>2</v>
      </c>
      <c r="E38">
        <v>0</v>
      </c>
      <c r="F38">
        <f t="shared" si="0"/>
        <v>32</v>
      </c>
      <c r="G38">
        <f t="shared" si="1"/>
        <v>1</v>
      </c>
      <c r="I38">
        <v>64.5</v>
      </c>
      <c r="J38">
        <v>439</v>
      </c>
      <c r="K38">
        <v>114</v>
      </c>
      <c r="L38" s="5"/>
    </row>
    <row r="39" spans="1:12" x14ac:dyDescent="0.2">
      <c r="A39">
        <v>6</v>
      </c>
      <c r="B39">
        <v>1</v>
      </c>
      <c r="C39" t="s">
        <v>9</v>
      </c>
      <c r="D39">
        <v>3</v>
      </c>
      <c r="E39">
        <v>1</v>
      </c>
      <c r="F39">
        <f t="shared" si="0"/>
        <v>31</v>
      </c>
      <c r="G39">
        <f t="shared" si="1"/>
        <v>0.96875</v>
      </c>
      <c r="H39" t="s">
        <v>34</v>
      </c>
      <c r="I39">
        <v>70.900000000000006</v>
      </c>
      <c r="J39">
        <v>462</v>
      </c>
      <c r="K39">
        <v>93</v>
      </c>
      <c r="L39" s="5"/>
    </row>
    <row r="40" spans="1:12" x14ac:dyDescent="0.2">
      <c r="A40">
        <v>6</v>
      </c>
      <c r="B40">
        <v>1</v>
      </c>
      <c r="C40" t="s">
        <v>15</v>
      </c>
      <c r="D40">
        <v>1</v>
      </c>
      <c r="E40">
        <v>2</v>
      </c>
      <c r="F40">
        <f t="shared" si="0"/>
        <v>30</v>
      </c>
      <c r="G40">
        <f t="shared" si="1"/>
        <v>0.9375</v>
      </c>
      <c r="H40" t="s">
        <v>33</v>
      </c>
      <c r="I40">
        <v>77.599999999999994</v>
      </c>
      <c r="J40">
        <v>436</v>
      </c>
      <c r="K40">
        <v>53</v>
      </c>
      <c r="L40" s="5"/>
    </row>
    <row r="41" spans="1:12" x14ac:dyDescent="0.2">
      <c r="A41">
        <v>6</v>
      </c>
      <c r="B41">
        <v>2</v>
      </c>
      <c r="C41" t="s">
        <v>9</v>
      </c>
      <c r="D41">
        <v>1</v>
      </c>
      <c r="E41">
        <v>0</v>
      </c>
      <c r="F41">
        <f t="shared" si="0"/>
        <v>32</v>
      </c>
      <c r="G41">
        <f t="shared" si="1"/>
        <v>1</v>
      </c>
      <c r="I41">
        <v>57.5</v>
      </c>
      <c r="J41">
        <v>382</v>
      </c>
      <c r="K41">
        <v>125</v>
      </c>
      <c r="L41" s="5">
        <v>0.5</v>
      </c>
    </row>
    <row r="42" spans="1:12" x14ac:dyDescent="0.2">
      <c r="A42">
        <v>6</v>
      </c>
      <c r="B42">
        <v>2</v>
      </c>
      <c r="C42" t="s">
        <v>9</v>
      </c>
      <c r="D42">
        <v>2</v>
      </c>
      <c r="E42">
        <v>0</v>
      </c>
      <c r="F42">
        <f t="shared" si="0"/>
        <v>32</v>
      </c>
      <c r="G42">
        <f t="shared" si="1"/>
        <v>1</v>
      </c>
      <c r="I42">
        <v>53.8</v>
      </c>
      <c r="J42">
        <v>315</v>
      </c>
      <c r="K42">
        <v>130</v>
      </c>
      <c r="L42" s="5"/>
    </row>
    <row r="43" spans="1:12" x14ac:dyDescent="0.2">
      <c r="A43">
        <v>6</v>
      </c>
      <c r="B43">
        <v>2</v>
      </c>
      <c r="C43" t="s">
        <v>9</v>
      </c>
      <c r="D43">
        <v>3</v>
      </c>
      <c r="E43">
        <v>0</v>
      </c>
      <c r="F43">
        <f t="shared" si="0"/>
        <v>32</v>
      </c>
      <c r="G43">
        <f t="shared" si="1"/>
        <v>1</v>
      </c>
      <c r="I43">
        <v>58.5</v>
      </c>
      <c r="J43">
        <v>348</v>
      </c>
      <c r="K43">
        <v>119</v>
      </c>
      <c r="L43" s="5"/>
    </row>
    <row r="44" spans="1:12" x14ac:dyDescent="0.2">
      <c r="A44">
        <v>6</v>
      </c>
      <c r="B44">
        <v>2</v>
      </c>
      <c r="C44" t="s">
        <v>15</v>
      </c>
      <c r="D44">
        <v>1</v>
      </c>
      <c r="E44">
        <v>0</v>
      </c>
      <c r="F44">
        <f t="shared" si="0"/>
        <v>32</v>
      </c>
      <c r="G44">
        <f t="shared" si="1"/>
        <v>1</v>
      </c>
      <c r="I44">
        <v>66.400000000000006</v>
      </c>
      <c r="J44">
        <v>364</v>
      </c>
      <c r="K44">
        <v>93</v>
      </c>
      <c r="L44" s="5"/>
    </row>
    <row r="45" spans="1:12" x14ac:dyDescent="0.2">
      <c r="A45">
        <v>7</v>
      </c>
      <c r="B45">
        <v>1</v>
      </c>
      <c r="C45" t="s">
        <v>9</v>
      </c>
      <c r="D45">
        <v>1</v>
      </c>
      <c r="E45">
        <v>6</v>
      </c>
      <c r="F45">
        <f t="shared" si="0"/>
        <v>26</v>
      </c>
      <c r="G45">
        <f t="shared" si="1"/>
        <v>0.8125</v>
      </c>
      <c r="H45" t="s">
        <v>35</v>
      </c>
      <c r="I45">
        <v>44.1</v>
      </c>
      <c r="J45">
        <v>325</v>
      </c>
      <c r="K45">
        <v>127</v>
      </c>
      <c r="L45" s="5">
        <v>0.6132075471698113</v>
      </c>
    </row>
    <row r="46" spans="1:12" x14ac:dyDescent="0.2">
      <c r="A46">
        <v>7</v>
      </c>
      <c r="B46">
        <v>1</v>
      </c>
      <c r="C46" t="s">
        <v>9</v>
      </c>
      <c r="D46">
        <v>2</v>
      </c>
      <c r="E46">
        <v>3</v>
      </c>
      <c r="F46">
        <f t="shared" si="0"/>
        <v>29</v>
      </c>
      <c r="G46">
        <f t="shared" si="1"/>
        <v>0.90625</v>
      </c>
      <c r="H46" t="s">
        <v>36</v>
      </c>
      <c r="I46">
        <v>31.9</v>
      </c>
      <c r="J46">
        <v>226</v>
      </c>
      <c r="K46">
        <v>97</v>
      </c>
      <c r="L46" s="5"/>
    </row>
    <row r="47" spans="1:12" x14ac:dyDescent="0.2">
      <c r="A47">
        <v>7</v>
      </c>
      <c r="B47">
        <v>1</v>
      </c>
      <c r="C47" t="s">
        <v>9</v>
      </c>
      <c r="D47">
        <v>3</v>
      </c>
      <c r="E47">
        <v>4</v>
      </c>
      <c r="F47">
        <f t="shared" si="0"/>
        <v>28</v>
      </c>
      <c r="G47">
        <f>SUM(F47/32)</f>
        <v>0.875</v>
      </c>
      <c r="H47" t="s">
        <v>37</v>
      </c>
      <c r="I47">
        <v>40.700000000000003</v>
      </c>
      <c r="J47">
        <v>283</v>
      </c>
      <c r="K47">
        <v>93</v>
      </c>
      <c r="L47" s="5"/>
    </row>
    <row r="48" spans="1:12" x14ac:dyDescent="0.2">
      <c r="A48">
        <v>7</v>
      </c>
      <c r="B48">
        <v>1</v>
      </c>
      <c r="C48" t="s">
        <v>15</v>
      </c>
      <c r="D48">
        <v>1</v>
      </c>
      <c r="E48">
        <v>5</v>
      </c>
      <c r="F48">
        <f t="shared" si="0"/>
        <v>27</v>
      </c>
      <c r="G48">
        <f t="shared" si="1"/>
        <v>0.84375</v>
      </c>
      <c r="H48" t="s">
        <v>38</v>
      </c>
      <c r="I48">
        <v>63.8</v>
      </c>
      <c r="J48">
        <v>361</v>
      </c>
      <c r="K48">
        <v>54</v>
      </c>
      <c r="L48" s="5"/>
    </row>
    <row r="49" spans="1:12" x14ac:dyDescent="0.2">
      <c r="A49">
        <v>7</v>
      </c>
      <c r="B49">
        <v>2</v>
      </c>
      <c r="C49" t="s">
        <v>9</v>
      </c>
      <c r="D49">
        <v>1</v>
      </c>
      <c r="E49">
        <v>0</v>
      </c>
      <c r="F49">
        <f t="shared" si="0"/>
        <v>32</v>
      </c>
      <c r="G49">
        <f t="shared" si="1"/>
        <v>1</v>
      </c>
      <c r="I49">
        <v>55.6</v>
      </c>
      <c r="J49">
        <v>379</v>
      </c>
      <c r="K49">
        <v>109</v>
      </c>
      <c r="L49" s="5">
        <v>0.44537815126050423</v>
      </c>
    </row>
    <row r="50" spans="1:12" x14ac:dyDescent="0.2">
      <c r="A50">
        <v>7</v>
      </c>
      <c r="B50">
        <v>2</v>
      </c>
      <c r="C50" t="s">
        <v>9</v>
      </c>
      <c r="D50">
        <v>2</v>
      </c>
      <c r="E50">
        <v>0</v>
      </c>
      <c r="F50">
        <f t="shared" si="0"/>
        <v>32</v>
      </c>
      <c r="G50">
        <f t="shared" si="1"/>
        <v>1</v>
      </c>
      <c r="I50">
        <v>65.2</v>
      </c>
      <c r="J50">
        <v>448</v>
      </c>
      <c r="K50">
        <v>99</v>
      </c>
      <c r="L50" s="5"/>
    </row>
    <row r="51" spans="1:12" x14ac:dyDescent="0.2">
      <c r="A51">
        <v>7</v>
      </c>
      <c r="B51">
        <v>2</v>
      </c>
      <c r="C51" t="s">
        <v>9</v>
      </c>
      <c r="D51">
        <v>3</v>
      </c>
      <c r="E51">
        <v>1</v>
      </c>
      <c r="F51">
        <f>SUM(32-E51)</f>
        <v>31</v>
      </c>
      <c r="G51">
        <f t="shared" si="1"/>
        <v>0.96875</v>
      </c>
      <c r="H51" t="s">
        <v>39</v>
      </c>
      <c r="I51">
        <v>45.9</v>
      </c>
      <c r="J51">
        <v>311</v>
      </c>
      <c r="K51">
        <v>116</v>
      </c>
      <c r="L51" s="5"/>
    </row>
    <row r="52" spans="1:12" x14ac:dyDescent="0.2">
      <c r="A52">
        <v>7</v>
      </c>
      <c r="B52">
        <v>2</v>
      </c>
      <c r="C52" t="s">
        <v>15</v>
      </c>
      <c r="D52">
        <v>1</v>
      </c>
      <c r="E52">
        <v>2</v>
      </c>
      <c r="F52">
        <f t="shared" si="0"/>
        <v>30</v>
      </c>
      <c r="G52">
        <f t="shared" si="1"/>
        <v>0.9375</v>
      </c>
      <c r="H52" t="s">
        <v>23</v>
      </c>
      <c r="I52">
        <v>73.2</v>
      </c>
      <c r="J52">
        <v>427</v>
      </c>
      <c r="K52">
        <v>37</v>
      </c>
      <c r="L52" s="5"/>
    </row>
    <row r="53" spans="1:12" x14ac:dyDescent="0.2">
      <c r="A53">
        <v>8</v>
      </c>
      <c r="B53">
        <v>1</v>
      </c>
      <c r="C53" t="s">
        <v>9</v>
      </c>
      <c r="D53">
        <v>1</v>
      </c>
      <c r="E53">
        <v>0</v>
      </c>
      <c r="F53">
        <f t="shared" si="0"/>
        <v>32</v>
      </c>
      <c r="G53">
        <f t="shared" si="1"/>
        <v>1</v>
      </c>
      <c r="I53">
        <v>75.099999999999994</v>
      </c>
      <c r="J53">
        <v>503</v>
      </c>
      <c r="K53">
        <v>56</v>
      </c>
      <c r="L53" s="5">
        <v>0.54621848739495793</v>
      </c>
    </row>
    <row r="54" spans="1:12" x14ac:dyDescent="0.2">
      <c r="A54">
        <v>8</v>
      </c>
      <c r="B54">
        <v>1</v>
      </c>
      <c r="C54" t="s">
        <v>9</v>
      </c>
      <c r="D54">
        <v>2</v>
      </c>
      <c r="E54">
        <v>0</v>
      </c>
      <c r="F54">
        <f t="shared" si="0"/>
        <v>32</v>
      </c>
      <c r="G54">
        <f t="shared" si="1"/>
        <v>1</v>
      </c>
      <c r="I54">
        <v>77.8</v>
      </c>
      <c r="J54">
        <v>510</v>
      </c>
      <c r="K54">
        <v>55</v>
      </c>
      <c r="L54" s="5"/>
    </row>
    <row r="55" spans="1:12" x14ac:dyDescent="0.2">
      <c r="A55">
        <v>8</v>
      </c>
      <c r="B55">
        <v>1</v>
      </c>
      <c r="C55" t="s">
        <v>9</v>
      </c>
      <c r="D55">
        <v>3</v>
      </c>
      <c r="E55">
        <v>0</v>
      </c>
      <c r="F55">
        <f t="shared" si="0"/>
        <v>32</v>
      </c>
      <c r="G55">
        <f t="shared" si="1"/>
        <v>1</v>
      </c>
      <c r="I55">
        <v>70.900000000000006</v>
      </c>
      <c r="J55">
        <v>454</v>
      </c>
      <c r="K55">
        <v>67</v>
      </c>
      <c r="L55" s="5"/>
    </row>
    <row r="56" spans="1:12" x14ac:dyDescent="0.2">
      <c r="A56">
        <v>8</v>
      </c>
      <c r="B56">
        <v>1</v>
      </c>
      <c r="C56" t="s">
        <v>15</v>
      </c>
      <c r="D56">
        <v>1</v>
      </c>
      <c r="E56">
        <v>2</v>
      </c>
      <c r="F56">
        <f t="shared" si="0"/>
        <v>30</v>
      </c>
      <c r="G56">
        <f t="shared" si="1"/>
        <v>0.9375</v>
      </c>
      <c r="H56" t="s">
        <v>40</v>
      </c>
      <c r="I56">
        <v>88.6</v>
      </c>
      <c r="J56">
        <v>488</v>
      </c>
      <c r="K56">
        <v>24</v>
      </c>
      <c r="L56" s="5"/>
    </row>
    <row r="57" spans="1:12" x14ac:dyDescent="0.2">
      <c r="A57">
        <v>8</v>
      </c>
      <c r="B57">
        <v>2</v>
      </c>
      <c r="C57" t="s">
        <v>9</v>
      </c>
      <c r="D57">
        <v>1</v>
      </c>
      <c r="E57">
        <v>0</v>
      </c>
      <c r="F57">
        <f t="shared" si="0"/>
        <v>32</v>
      </c>
      <c r="G57">
        <f t="shared" si="1"/>
        <v>1</v>
      </c>
      <c r="I57">
        <v>51.2</v>
      </c>
      <c r="J57">
        <v>381</v>
      </c>
      <c r="K57">
        <v>96</v>
      </c>
      <c r="L57" s="5">
        <v>0.57627118644067798</v>
      </c>
    </row>
    <row r="58" spans="1:12" x14ac:dyDescent="0.2">
      <c r="A58">
        <v>8</v>
      </c>
      <c r="B58">
        <v>2</v>
      </c>
      <c r="C58" t="s">
        <v>9</v>
      </c>
      <c r="D58">
        <v>2</v>
      </c>
      <c r="E58">
        <v>0</v>
      </c>
      <c r="F58">
        <f t="shared" si="0"/>
        <v>32</v>
      </c>
      <c r="G58">
        <f t="shared" si="1"/>
        <v>1</v>
      </c>
      <c r="I58">
        <v>73.599999999999994</v>
      </c>
      <c r="J58">
        <v>450</v>
      </c>
      <c r="K58">
        <v>62</v>
      </c>
      <c r="L58" s="5"/>
    </row>
    <row r="59" spans="1:12" x14ac:dyDescent="0.2">
      <c r="A59">
        <v>8</v>
      </c>
      <c r="B59">
        <v>2</v>
      </c>
      <c r="C59" t="s">
        <v>9</v>
      </c>
      <c r="D59">
        <v>3</v>
      </c>
      <c r="E59">
        <v>0</v>
      </c>
      <c r="F59">
        <f t="shared" si="0"/>
        <v>32</v>
      </c>
      <c r="G59">
        <f t="shared" si="1"/>
        <v>1</v>
      </c>
      <c r="I59">
        <v>81.900000000000006</v>
      </c>
      <c r="J59">
        <v>495</v>
      </c>
      <c r="K59">
        <v>56</v>
      </c>
      <c r="L59" s="5"/>
    </row>
    <row r="60" spans="1:12" x14ac:dyDescent="0.2">
      <c r="A60">
        <v>8</v>
      </c>
      <c r="B60">
        <v>2</v>
      </c>
      <c r="C60" t="s">
        <v>15</v>
      </c>
      <c r="D60">
        <v>1</v>
      </c>
      <c r="E60">
        <v>3</v>
      </c>
      <c r="F60">
        <f t="shared" si="0"/>
        <v>29</v>
      </c>
      <c r="G60">
        <f t="shared" si="1"/>
        <v>0.90625</v>
      </c>
      <c r="H60" t="s">
        <v>41</v>
      </c>
      <c r="I60">
        <v>85.8</v>
      </c>
      <c r="J60">
        <v>475</v>
      </c>
      <c r="K60">
        <v>28</v>
      </c>
      <c r="L60" s="5"/>
    </row>
    <row r="61" spans="1:12" x14ac:dyDescent="0.2">
      <c r="A61">
        <v>9</v>
      </c>
      <c r="B61">
        <v>1</v>
      </c>
      <c r="C61" t="s">
        <v>9</v>
      </c>
      <c r="D61">
        <v>1</v>
      </c>
      <c r="E61">
        <v>1</v>
      </c>
      <c r="F61">
        <f t="shared" si="0"/>
        <v>31</v>
      </c>
      <c r="G61">
        <f t="shared" si="1"/>
        <v>0.96875</v>
      </c>
      <c r="H61" t="s">
        <v>42</v>
      </c>
      <c r="I61">
        <v>57.5</v>
      </c>
      <c r="J61">
        <v>435</v>
      </c>
      <c r="K61">
        <v>82</v>
      </c>
      <c r="L61" s="5">
        <v>0.44166666666666665</v>
      </c>
    </row>
    <row r="62" spans="1:12" x14ac:dyDescent="0.2">
      <c r="A62">
        <v>9</v>
      </c>
      <c r="B62">
        <v>1</v>
      </c>
      <c r="C62" t="s">
        <v>9</v>
      </c>
      <c r="D62">
        <v>2</v>
      </c>
      <c r="E62">
        <v>1</v>
      </c>
      <c r="F62">
        <f t="shared" si="0"/>
        <v>31</v>
      </c>
      <c r="G62">
        <f t="shared" si="1"/>
        <v>0.96875</v>
      </c>
      <c r="H62" t="s">
        <v>42</v>
      </c>
      <c r="I62">
        <v>60.3</v>
      </c>
      <c r="J62">
        <v>426</v>
      </c>
      <c r="K62">
        <v>73</v>
      </c>
      <c r="L62" s="5"/>
    </row>
    <row r="63" spans="1:12" x14ac:dyDescent="0.2">
      <c r="A63">
        <v>9</v>
      </c>
      <c r="B63">
        <v>1</v>
      </c>
      <c r="C63" t="s">
        <v>9</v>
      </c>
      <c r="D63">
        <v>3</v>
      </c>
      <c r="E63">
        <v>1</v>
      </c>
      <c r="F63">
        <f t="shared" si="0"/>
        <v>31</v>
      </c>
      <c r="G63">
        <f t="shared" si="1"/>
        <v>0.96875</v>
      </c>
      <c r="H63" t="s">
        <v>42</v>
      </c>
      <c r="I63">
        <v>53.9</v>
      </c>
      <c r="J63">
        <v>353</v>
      </c>
      <c r="K63">
        <v>64</v>
      </c>
      <c r="L63" s="5"/>
    </row>
    <row r="64" spans="1:12" x14ac:dyDescent="0.2">
      <c r="A64">
        <v>9</v>
      </c>
      <c r="B64">
        <v>1</v>
      </c>
      <c r="C64" t="s">
        <v>15</v>
      </c>
      <c r="D64">
        <v>1</v>
      </c>
      <c r="E64">
        <v>0</v>
      </c>
      <c r="F64">
        <f t="shared" si="0"/>
        <v>32</v>
      </c>
      <c r="G64">
        <f t="shared" si="1"/>
        <v>1</v>
      </c>
      <c r="I64">
        <v>54.9</v>
      </c>
      <c r="J64">
        <v>304</v>
      </c>
      <c r="K64">
        <v>57</v>
      </c>
      <c r="L64" s="5"/>
    </row>
    <row r="65" spans="1:12" x14ac:dyDescent="0.2">
      <c r="A65">
        <v>9</v>
      </c>
      <c r="B65">
        <v>2</v>
      </c>
      <c r="C65" t="s">
        <v>9</v>
      </c>
      <c r="D65">
        <v>1</v>
      </c>
      <c r="E65">
        <v>0</v>
      </c>
      <c r="F65">
        <f t="shared" si="0"/>
        <v>32</v>
      </c>
      <c r="G65">
        <f t="shared" si="1"/>
        <v>1</v>
      </c>
      <c r="I65">
        <v>58.2</v>
      </c>
      <c r="J65">
        <v>382</v>
      </c>
      <c r="K65">
        <v>81</v>
      </c>
      <c r="L65" s="5">
        <v>0.52500000000000002</v>
      </c>
    </row>
    <row r="66" spans="1:12" x14ac:dyDescent="0.2">
      <c r="A66">
        <v>9</v>
      </c>
      <c r="B66">
        <v>2</v>
      </c>
      <c r="C66" t="s">
        <v>9</v>
      </c>
      <c r="D66">
        <v>2</v>
      </c>
      <c r="E66">
        <v>1</v>
      </c>
      <c r="F66">
        <f t="shared" si="0"/>
        <v>31</v>
      </c>
      <c r="G66">
        <f t="shared" si="1"/>
        <v>0.96875</v>
      </c>
      <c r="H66" t="s">
        <v>43</v>
      </c>
      <c r="I66">
        <v>63.3</v>
      </c>
      <c r="J66">
        <v>415</v>
      </c>
      <c r="K66">
        <v>75</v>
      </c>
      <c r="L66" s="5"/>
    </row>
    <row r="67" spans="1:12" x14ac:dyDescent="0.2">
      <c r="A67">
        <v>9</v>
      </c>
      <c r="B67">
        <v>2</v>
      </c>
      <c r="C67" t="s">
        <v>9</v>
      </c>
      <c r="D67">
        <v>3</v>
      </c>
      <c r="E67">
        <v>0</v>
      </c>
      <c r="F67">
        <f t="shared" ref="F67:F84" si="2">SUM(32-E67)</f>
        <v>32</v>
      </c>
      <c r="G67">
        <f t="shared" ref="G67:G75" si="3">SUM(F67/32)</f>
        <v>1</v>
      </c>
      <c r="I67">
        <v>61.8</v>
      </c>
      <c r="J67">
        <v>371</v>
      </c>
      <c r="K67">
        <v>69</v>
      </c>
      <c r="L67" s="5"/>
    </row>
    <row r="68" spans="1:12" x14ac:dyDescent="0.2">
      <c r="A68">
        <v>9</v>
      </c>
      <c r="B68">
        <v>2</v>
      </c>
      <c r="C68" t="s">
        <v>15</v>
      </c>
      <c r="D68">
        <v>1</v>
      </c>
      <c r="E68">
        <v>1</v>
      </c>
      <c r="F68">
        <f t="shared" si="2"/>
        <v>31</v>
      </c>
      <c r="G68">
        <f t="shared" si="3"/>
        <v>0.96875</v>
      </c>
      <c r="H68" t="s">
        <v>43</v>
      </c>
      <c r="I68">
        <v>30.6</v>
      </c>
      <c r="J68">
        <v>168</v>
      </c>
      <c r="K68">
        <v>55</v>
      </c>
      <c r="L68" s="5"/>
    </row>
    <row r="69" spans="1:12" x14ac:dyDescent="0.2">
      <c r="A69">
        <v>10</v>
      </c>
      <c r="B69">
        <v>1</v>
      </c>
      <c r="C69" t="s">
        <v>9</v>
      </c>
      <c r="D69">
        <v>1</v>
      </c>
      <c r="E69">
        <v>3</v>
      </c>
      <c r="F69">
        <f t="shared" si="2"/>
        <v>29</v>
      </c>
      <c r="G69">
        <f t="shared" si="3"/>
        <v>0.90625</v>
      </c>
      <c r="H69" t="s">
        <v>44</v>
      </c>
      <c r="I69">
        <v>63.5</v>
      </c>
      <c r="J69">
        <v>416</v>
      </c>
      <c r="K69">
        <v>109</v>
      </c>
      <c r="L69" s="5">
        <v>0.64655172413793105</v>
      </c>
    </row>
    <row r="70" spans="1:12" x14ac:dyDescent="0.2">
      <c r="A70">
        <v>10</v>
      </c>
      <c r="B70">
        <v>1</v>
      </c>
      <c r="C70" t="s">
        <v>9</v>
      </c>
      <c r="D70">
        <v>2</v>
      </c>
      <c r="E70">
        <v>2</v>
      </c>
      <c r="F70">
        <f t="shared" si="2"/>
        <v>30</v>
      </c>
      <c r="G70">
        <f t="shared" si="3"/>
        <v>0.9375</v>
      </c>
      <c r="H70" t="s">
        <v>40</v>
      </c>
      <c r="I70">
        <v>67.099999999999994</v>
      </c>
      <c r="J70">
        <v>448</v>
      </c>
      <c r="K70">
        <v>119</v>
      </c>
      <c r="L70" s="5"/>
    </row>
    <row r="71" spans="1:12" x14ac:dyDescent="0.2">
      <c r="A71">
        <v>10</v>
      </c>
      <c r="B71">
        <v>1</v>
      </c>
      <c r="C71" t="s">
        <v>9</v>
      </c>
      <c r="D71">
        <v>3</v>
      </c>
      <c r="E71">
        <v>0</v>
      </c>
      <c r="F71">
        <f t="shared" si="2"/>
        <v>32</v>
      </c>
      <c r="G71">
        <f t="shared" si="3"/>
        <v>1</v>
      </c>
      <c r="I71">
        <v>57.1</v>
      </c>
      <c r="J71">
        <v>368</v>
      </c>
      <c r="K71">
        <v>98</v>
      </c>
      <c r="L71" s="5"/>
    </row>
    <row r="72" spans="1:12" x14ac:dyDescent="0.2">
      <c r="A72">
        <v>10</v>
      </c>
      <c r="B72">
        <v>1</v>
      </c>
      <c r="C72" t="s">
        <v>15</v>
      </c>
      <c r="D72">
        <v>1</v>
      </c>
      <c r="E72">
        <v>2</v>
      </c>
      <c r="F72">
        <f t="shared" si="2"/>
        <v>30</v>
      </c>
      <c r="G72">
        <f t="shared" si="3"/>
        <v>0.9375</v>
      </c>
      <c r="H72" t="s">
        <v>23</v>
      </c>
      <c r="I72">
        <v>80.599999999999994</v>
      </c>
      <c r="J72">
        <v>446</v>
      </c>
      <c r="K72">
        <v>36</v>
      </c>
      <c r="L72" s="5"/>
    </row>
    <row r="73" spans="1:12" x14ac:dyDescent="0.2">
      <c r="A73">
        <v>10</v>
      </c>
      <c r="B73">
        <v>2</v>
      </c>
      <c r="C73" t="s">
        <v>9</v>
      </c>
      <c r="D73">
        <v>1</v>
      </c>
      <c r="E73">
        <v>0</v>
      </c>
      <c r="F73">
        <f t="shared" si="2"/>
        <v>32</v>
      </c>
      <c r="G73">
        <f>SUM(F73/32)</f>
        <v>1</v>
      </c>
      <c r="I73">
        <v>51.1</v>
      </c>
      <c r="J73">
        <v>311</v>
      </c>
      <c r="K73">
        <v>110</v>
      </c>
      <c r="L73" s="5">
        <v>0.55084745762711862</v>
      </c>
    </row>
    <row r="74" spans="1:12" x14ac:dyDescent="0.2">
      <c r="A74">
        <v>10</v>
      </c>
      <c r="B74">
        <v>2</v>
      </c>
      <c r="C74" t="s">
        <v>9</v>
      </c>
      <c r="D74">
        <v>2</v>
      </c>
      <c r="E74">
        <v>0</v>
      </c>
      <c r="F74">
        <f t="shared" si="2"/>
        <v>32</v>
      </c>
      <c r="G74">
        <f t="shared" si="3"/>
        <v>1</v>
      </c>
      <c r="I74">
        <v>48.6</v>
      </c>
      <c r="J74">
        <v>299</v>
      </c>
      <c r="K74">
        <v>116</v>
      </c>
      <c r="L74" s="5"/>
    </row>
    <row r="75" spans="1:12" x14ac:dyDescent="0.2">
      <c r="A75">
        <v>10</v>
      </c>
      <c r="B75">
        <v>2</v>
      </c>
      <c r="C75" t="s">
        <v>9</v>
      </c>
      <c r="D75">
        <v>3</v>
      </c>
      <c r="E75">
        <v>2</v>
      </c>
      <c r="F75">
        <f t="shared" si="2"/>
        <v>30</v>
      </c>
      <c r="G75">
        <f t="shared" si="3"/>
        <v>0.9375</v>
      </c>
      <c r="H75" t="s">
        <v>45</v>
      </c>
      <c r="I75">
        <v>56.6</v>
      </c>
      <c r="J75">
        <v>318</v>
      </c>
      <c r="K75">
        <v>103</v>
      </c>
      <c r="L75" s="5"/>
    </row>
    <row r="76" spans="1:12" x14ac:dyDescent="0.2">
      <c r="A76">
        <v>10</v>
      </c>
      <c r="B76">
        <v>2</v>
      </c>
      <c r="C76" t="s">
        <v>15</v>
      </c>
      <c r="D76">
        <v>1</v>
      </c>
      <c r="E76">
        <v>2</v>
      </c>
      <c r="F76">
        <f t="shared" si="2"/>
        <v>30</v>
      </c>
      <c r="G76">
        <f>SUM(F76/32)</f>
        <v>0.9375</v>
      </c>
      <c r="H76" t="s">
        <v>46</v>
      </c>
      <c r="I76">
        <v>77</v>
      </c>
      <c r="J76">
        <v>429</v>
      </c>
      <c r="K76">
        <v>66</v>
      </c>
      <c r="L76" s="5"/>
    </row>
    <row r="77" spans="1:12" x14ac:dyDescent="0.2">
      <c r="A77">
        <v>11</v>
      </c>
      <c r="B77">
        <v>1</v>
      </c>
      <c r="C77" t="s">
        <v>9</v>
      </c>
      <c r="D77">
        <v>1</v>
      </c>
      <c r="E77">
        <v>3</v>
      </c>
      <c r="F77">
        <f>SUM(32-E77)</f>
        <v>29</v>
      </c>
      <c r="G77">
        <f t="shared" ref="G77:G105" si="4">SUM(F77/32)</f>
        <v>0.90625</v>
      </c>
      <c r="H77" t="s">
        <v>41</v>
      </c>
      <c r="I77">
        <v>92.8</v>
      </c>
      <c r="J77">
        <v>779</v>
      </c>
      <c r="K77">
        <v>18</v>
      </c>
      <c r="L77" s="5">
        <v>0.63063063063063063</v>
      </c>
    </row>
    <row r="78" spans="1:12" x14ac:dyDescent="0.2">
      <c r="A78">
        <v>11</v>
      </c>
      <c r="B78">
        <v>1</v>
      </c>
      <c r="C78" t="s">
        <v>9</v>
      </c>
      <c r="D78">
        <v>2</v>
      </c>
      <c r="E78">
        <v>3</v>
      </c>
      <c r="F78">
        <f t="shared" si="2"/>
        <v>29</v>
      </c>
      <c r="G78">
        <f t="shared" si="4"/>
        <v>0.90625</v>
      </c>
      <c r="H78" t="s">
        <v>41</v>
      </c>
      <c r="I78">
        <v>91.6</v>
      </c>
      <c r="J78">
        <v>770</v>
      </c>
      <c r="K78">
        <v>24</v>
      </c>
      <c r="L78" s="5"/>
    </row>
    <row r="79" spans="1:12" x14ac:dyDescent="0.2">
      <c r="A79">
        <v>11</v>
      </c>
      <c r="B79">
        <v>1</v>
      </c>
      <c r="C79" t="s">
        <v>9</v>
      </c>
      <c r="D79">
        <v>3</v>
      </c>
      <c r="E79">
        <v>3</v>
      </c>
      <c r="F79">
        <f t="shared" si="2"/>
        <v>29</v>
      </c>
      <c r="G79">
        <f t="shared" si="4"/>
        <v>0.90625</v>
      </c>
      <c r="H79" t="s">
        <v>41</v>
      </c>
      <c r="I79">
        <v>90.1</v>
      </c>
      <c r="J79">
        <v>869</v>
      </c>
      <c r="K79">
        <v>33</v>
      </c>
      <c r="L79" s="5"/>
    </row>
    <row r="80" spans="1:12" x14ac:dyDescent="0.2">
      <c r="A80">
        <v>11</v>
      </c>
      <c r="B80">
        <v>1</v>
      </c>
      <c r="C80" t="s">
        <v>15</v>
      </c>
      <c r="D80">
        <v>1</v>
      </c>
      <c r="E80">
        <v>4</v>
      </c>
      <c r="F80">
        <f t="shared" si="2"/>
        <v>28</v>
      </c>
      <c r="G80">
        <f t="shared" si="4"/>
        <v>0.875</v>
      </c>
      <c r="H80" t="s">
        <v>47</v>
      </c>
      <c r="I80">
        <v>88.1</v>
      </c>
      <c r="J80">
        <v>488</v>
      </c>
      <c r="K80">
        <v>11</v>
      </c>
      <c r="L80" s="5"/>
    </row>
    <row r="81" spans="1:12" x14ac:dyDescent="0.2">
      <c r="A81">
        <v>11</v>
      </c>
      <c r="B81">
        <v>2</v>
      </c>
      <c r="C81" t="s">
        <v>9</v>
      </c>
      <c r="D81">
        <v>1</v>
      </c>
      <c r="E81">
        <v>2</v>
      </c>
      <c r="F81">
        <f t="shared" si="2"/>
        <v>30</v>
      </c>
      <c r="G81">
        <f t="shared" si="4"/>
        <v>0.9375</v>
      </c>
      <c r="H81" t="s">
        <v>48</v>
      </c>
      <c r="I81">
        <v>93.4</v>
      </c>
      <c r="J81">
        <v>760</v>
      </c>
      <c r="K81">
        <v>19</v>
      </c>
      <c r="L81" s="5">
        <v>0.53508771929824561</v>
      </c>
    </row>
    <row r="82" spans="1:12" x14ac:dyDescent="0.2">
      <c r="A82">
        <v>11</v>
      </c>
      <c r="B82">
        <v>2</v>
      </c>
      <c r="C82" t="s">
        <v>9</v>
      </c>
      <c r="D82">
        <v>2</v>
      </c>
      <c r="E82">
        <v>3</v>
      </c>
      <c r="F82">
        <f t="shared" si="2"/>
        <v>29</v>
      </c>
      <c r="G82">
        <f t="shared" si="4"/>
        <v>0.90625</v>
      </c>
      <c r="H82" t="s">
        <v>44</v>
      </c>
      <c r="I82">
        <v>94.8</v>
      </c>
      <c r="J82">
        <v>767</v>
      </c>
      <c r="K82">
        <v>20</v>
      </c>
      <c r="L82" s="5"/>
    </row>
    <row r="83" spans="1:12" x14ac:dyDescent="0.2">
      <c r="A83">
        <v>11</v>
      </c>
      <c r="B83">
        <v>2</v>
      </c>
      <c r="C83" t="s">
        <v>9</v>
      </c>
      <c r="D83">
        <v>3</v>
      </c>
      <c r="E83">
        <v>2</v>
      </c>
      <c r="F83">
        <f t="shared" si="2"/>
        <v>30</v>
      </c>
      <c r="G83">
        <f t="shared" si="4"/>
        <v>0.9375</v>
      </c>
      <c r="H83" t="s">
        <v>48</v>
      </c>
      <c r="I83">
        <v>93.4</v>
      </c>
      <c r="J83">
        <v>686</v>
      </c>
      <c r="K83">
        <v>21</v>
      </c>
      <c r="L83" s="5"/>
    </row>
    <row r="84" spans="1:12" x14ac:dyDescent="0.2">
      <c r="A84">
        <v>11</v>
      </c>
      <c r="B84">
        <v>2</v>
      </c>
      <c r="C84" t="s">
        <v>15</v>
      </c>
      <c r="D84">
        <v>1</v>
      </c>
      <c r="E84">
        <v>3</v>
      </c>
      <c r="F84">
        <f t="shared" si="2"/>
        <v>29</v>
      </c>
      <c r="G84">
        <f t="shared" si="4"/>
        <v>0.90625</v>
      </c>
      <c r="H84" t="s">
        <v>44</v>
      </c>
      <c r="I84">
        <v>93</v>
      </c>
      <c r="J84">
        <v>512</v>
      </c>
      <c r="K84">
        <v>13</v>
      </c>
      <c r="L84" s="5"/>
    </row>
    <row r="85" spans="1:12" x14ac:dyDescent="0.2">
      <c r="A85">
        <v>12</v>
      </c>
      <c r="B85">
        <v>1</v>
      </c>
      <c r="C85" t="s">
        <v>9</v>
      </c>
      <c r="D85">
        <v>1</v>
      </c>
      <c r="E85">
        <v>0</v>
      </c>
      <c r="F85">
        <f>SUM(32-E85)</f>
        <v>32</v>
      </c>
      <c r="G85">
        <f t="shared" si="4"/>
        <v>1</v>
      </c>
      <c r="I85">
        <v>51.2</v>
      </c>
      <c r="J85">
        <v>409</v>
      </c>
      <c r="K85">
        <v>160</v>
      </c>
      <c r="L85" s="5">
        <v>0.49166666666666664</v>
      </c>
    </row>
    <row r="86" spans="1:12" x14ac:dyDescent="0.2">
      <c r="A86">
        <v>12</v>
      </c>
      <c r="B86">
        <v>1</v>
      </c>
      <c r="C86" t="s">
        <v>9</v>
      </c>
      <c r="D86">
        <v>2</v>
      </c>
      <c r="E86">
        <v>0</v>
      </c>
      <c r="F86">
        <f t="shared" ref="F86:F117" si="5">SUM(32-E86)</f>
        <v>32</v>
      </c>
      <c r="G86">
        <f t="shared" si="4"/>
        <v>1</v>
      </c>
      <c r="I86">
        <v>49.6</v>
      </c>
      <c r="J86">
        <v>369</v>
      </c>
      <c r="K86">
        <v>152</v>
      </c>
      <c r="L86" s="5"/>
    </row>
    <row r="87" spans="1:12" x14ac:dyDescent="0.2">
      <c r="A87">
        <v>12</v>
      </c>
      <c r="B87">
        <v>1</v>
      </c>
      <c r="C87" t="s">
        <v>9</v>
      </c>
      <c r="D87">
        <v>3</v>
      </c>
      <c r="E87">
        <v>0</v>
      </c>
      <c r="F87">
        <f t="shared" si="5"/>
        <v>32</v>
      </c>
      <c r="G87">
        <f t="shared" si="4"/>
        <v>1</v>
      </c>
      <c r="I87">
        <v>44.5</v>
      </c>
      <c r="J87">
        <v>293</v>
      </c>
      <c r="K87">
        <v>134</v>
      </c>
      <c r="L87" s="5"/>
    </row>
    <row r="88" spans="1:12" x14ac:dyDescent="0.2">
      <c r="A88">
        <v>12</v>
      </c>
      <c r="B88">
        <v>1</v>
      </c>
      <c r="C88" t="s">
        <v>15</v>
      </c>
      <c r="D88">
        <v>1</v>
      </c>
      <c r="E88">
        <v>1</v>
      </c>
      <c r="F88">
        <f t="shared" si="5"/>
        <v>31</v>
      </c>
      <c r="G88">
        <f t="shared" si="4"/>
        <v>0.96875</v>
      </c>
      <c r="H88" t="s">
        <v>49</v>
      </c>
      <c r="I88">
        <v>84.4</v>
      </c>
      <c r="J88">
        <v>488</v>
      </c>
      <c r="K88">
        <v>28</v>
      </c>
      <c r="L88" s="5"/>
    </row>
    <row r="89" spans="1:12" x14ac:dyDescent="0.2">
      <c r="A89">
        <v>12</v>
      </c>
      <c r="B89">
        <v>2</v>
      </c>
      <c r="C89" t="s">
        <v>9</v>
      </c>
      <c r="D89">
        <v>1</v>
      </c>
      <c r="E89">
        <v>0</v>
      </c>
      <c r="F89">
        <f t="shared" si="5"/>
        <v>32</v>
      </c>
      <c r="G89">
        <f t="shared" si="4"/>
        <v>1</v>
      </c>
      <c r="I89">
        <v>35.5</v>
      </c>
      <c r="J89">
        <v>256</v>
      </c>
      <c r="K89">
        <v>128</v>
      </c>
      <c r="L89" s="5">
        <v>0.41666666666666669</v>
      </c>
    </row>
    <row r="90" spans="1:12" x14ac:dyDescent="0.2">
      <c r="A90">
        <v>12</v>
      </c>
      <c r="B90">
        <v>2</v>
      </c>
      <c r="C90" t="s">
        <v>9</v>
      </c>
      <c r="D90">
        <v>2</v>
      </c>
      <c r="E90">
        <v>1</v>
      </c>
      <c r="F90">
        <f t="shared" si="5"/>
        <v>31</v>
      </c>
      <c r="G90">
        <f t="shared" si="4"/>
        <v>0.96875</v>
      </c>
      <c r="H90" t="s">
        <v>10</v>
      </c>
      <c r="I90">
        <v>49.1</v>
      </c>
      <c r="J90">
        <v>337</v>
      </c>
      <c r="K90">
        <v>108</v>
      </c>
      <c r="L90" s="5"/>
    </row>
    <row r="91" spans="1:12" x14ac:dyDescent="0.2">
      <c r="A91">
        <v>12</v>
      </c>
      <c r="B91">
        <v>2</v>
      </c>
      <c r="C91" t="s">
        <v>9</v>
      </c>
      <c r="D91">
        <v>3</v>
      </c>
      <c r="E91">
        <v>0</v>
      </c>
      <c r="F91">
        <f t="shared" si="5"/>
        <v>32</v>
      </c>
      <c r="G91">
        <f t="shared" si="4"/>
        <v>1</v>
      </c>
      <c r="I91">
        <v>44.1</v>
      </c>
      <c r="J91">
        <v>283</v>
      </c>
      <c r="K91">
        <v>116</v>
      </c>
      <c r="L91" s="5"/>
    </row>
    <row r="92" spans="1:12" x14ac:dyDescent="0.2">
      <c r="A92">
        <v>12</v>
      </c>
      <c r="B92">
        <v>2</v>
      </c>
      <c r="C92" t="s">
        <v>15</v>
      </c>
      <c r="D92">
        <v>1</v>
      </c>
      <c r="E92">
        <v>0</v>
      </c>
      <c r="F92">
        <f t="shared" si="5"/>
        <v>32</v>
      </c>
      <c r="G92">
        <f t="shared" si="4"/>
        <v>1</v>
      </c>
      <c r="I92">
        <v>61.1</v>
      </c>
      <c r="J92">
        <v>337</v>
      </c>
      <c r="K92">
        <v>59</v>
      </c>
      <c r="L92" s="5"/>
    </row>
    <row r="93" spans="1:12" x14ac:dyDescent="0.2">
      <c r="A93">
        <v>13</v>
      </c>
      <c r="B93">
        <v>1</v>
      </c>
      <c r="C93" t="s">
        <v>9</v>
      </c>
      <c r="D93">
        <v>1</v>
      </c>
      <c r="E93">
        <v>2</v>
      </c>
      <c r="F93">
        <f t="shared" si="5"/>
        <v>30</v>
      </c>
      <c r="G93">
        <f t="shared" si="4"/>
        <v>0.9375</v>
      </c>
      <c r="H93" t="s">
        <v>50</v>
      </c>
      <c r="I93">
        <v>41</v>
      </c>
      <c r="J93">
        <v>252</v>
      </c>
      <c r="K93">
        <v>82</v>
      </c>
      <c r="L93" s="5">
        <v>0.53846153846153844</v>
      </c>
    </row>
    <row r="94" spans="1:12" x14ac:dyDescent="0.2">
      <c r="A94">
        <v>13</v>
      </c>
      <c r="B94">
        <v>1</v>
      </c>
      <c r="C94" t="s">
        <v>9</v>
      </c>
      <c r="D94">
        <v>2</v>
      </c>
      <c r="E94">
        <v>0</v>
      </c>
      <c r="F94">
        <f t="shared" si="5"/>
        <v>32</v>
      </c>
      <c r="G94">
        <f t="shared" si="4"/>
        <v>1</v>
      </c>
      <c r="I94">
        <v>47.5</v>
      </c>
      <c r="J94">
        <v>318</v>
      </c>
      <c r="K94">
        <v>88</v>
      </c>
      <c r="L94" s="5"/>
    </row>
    <row r="95" spans="1:12" x14ac:dyDescent="0.2">
      <c r="A95">
        <v>13</v>
      </c>
      <c r="B95">
        <v>1</v>
      </c>
      <c r="C95" t="s">
        <v>9</v>
      </c>
      <c r="D95">
        <v>3</v>
      </c>
      <c r="E95">
        <v>0</v>
      </c>
      <c r="F95">
        <f t="shared" si="5"/>
        <v>32</v>
      </c>
      <c r="G95">
        <f t="shared" si="4"/>
        <v>1</v>
      </c>
      <c r="I95">
        <v>56.1</v>
      </c>
      <c r="J95">
        <v>348</v>
      </c>
      <c r="K95">
        <v>76</v>
      </c>
      <c r="L95" s="5"/>
    </row>
    <row r="96" spans="1:12" x14ac:dyDescent="0.2">
      <c r="A96">
        <v>13</v>
      </c>
      <c r="B96">
        <v>1</v>
      </c>
      <c r="C96" t="s">
        <v>15</v>
      </c>
      <c r="D96">
        <v>1</v>
      </c>
      <c r="E96">
        <v>3</v>
      </c>
      <c r="F96">
        <f t="shared" si="5"/>
        <v>29</v>
      </c>
      <c r="G96">
        <f t="shared" si="4"/>
        <v>0.90625</v>
      </c>
      <c r="H96" t="s">
        <v>51</v>
      </c>
      <c r="I96">
        <v>68.8</v>
      </c>
      <c r="J96">
        <v>383</v>
      </c>
      <c r="K96">
        <v>63</v>
      </c>
      <c r="L96" s="5"/>
    </row>
    <row r="97" spans="1:12" x14ac:dyDescent="0.2">
      <c r="A97">
        <v>13</v>
      </c>
      <c r="B97">
        <v>2</v>
      </c>
      <c r="C97" t="s">
        <v>9</v>
      </c>
      <c r="D97">
        <v>1</v>
      </c>
      <c r="E97">
        <v>0</v>
      </c>
      <c r="F97">
        <f t="shared" si="5"/>
        <v>32</v>
      </c>
      <c r="G97">
        <f t="shared" si="4"/>
        <v>1</v>
      </c>
      <c r="I97">
        <v>39.5</v>
      </c>
      <c r="J97">
        <v>246</v>
      </c>
      <c r="K97">
        <v>83</v>
      </c>
      <c r="L97" s="5">
        <v>0.57264957264957261</v>
      </c>
    </row>
    <row r="98" spans="1:12" x14ac:dyDescent="0.2">
      <c r="A98">
        <v>13</v>
      </c>
      <c r="B98">
        <v>2</v>
      </c>
      <c r="C98" t="s">
        <v>9</v>
      </c>
      <c r="D98">
        <v>2</v>
      </c>
      <c r="E98">
        <v>1</v>
      </c>
      <c r="F98">
        <f t="shared" si="5"/>
        <v>31</v>
      </c>
      <c r="G98">
        <f t="shared" si="4"/>
        <v>0.96875</v>
      </c>
      <c r="H98" t="s">
        <v>52</v>
      </c>
      <c r="I98">
        <v>39.700000000000003</v>
      </c>
      <c r="J98">
        <v>286</v>
      </c>
      <c r="K98">
        <v>81</v>
      </c>
      <c r="L98" s="5"/>
    </row>
    <row r="99" spans="1:12" x14ac:dyDescent="0.2">
      <c r="A99">
        <v>13</v>
      </c>
      <c r="B99">
        <v>2</v>
      </c>
      <c r="C99" t="s">
        <v>9</v>
      </c>
      <c r="D99">
        <v>3</v>
      </c>
      <c r="E99">
        <v>3</v>
      </c>
      <c r="F99">
        <f t="shared" si="5"/>
        <v>29</v>
      </c>
      <c r="G99">
        <f t="shared" si="4"/>
        <v>0.90625</v>
      </c>
      <c r="H99" t="s">
        <v>53</v>
      </c>
      <c r="I99">
        <v>51.6</v>
      </c>
      <c r="J99">
        <v>322</v>
      </c>
      <c r="K99">
        <v>72</v>
      </c>
      <c r="L99" s="5"/>
    </row>
    <row r="100" spans="1:12" x14ac:dyDescent="0.2">
      <c r="A100">
        <v>13</v>
      </c>
      <c r="B100">
        <v>2</v>
      </c>
      <c r="C100" t="s">
        <v>15</v>
      </c>
      <c r="D100">
        <v>1</v>
      </c>
      <c r="E100">
        <v>2</v>
      </c>
      <c r="F100">
        <f t="shared" si="5"/>
        <v>30</v>
      </c>
      <c r="G100">
        <f t="shared" si="4"/>
        <v>0.9375</v>
      </c>
      <c r="H100" t="s">
        <v>50</v>
      </c>
      <c r="I100">
        <v>64.400000000000006</v>
      </c>
      <c r="J100">
        <v>390</v>
      </c>
      <c r="K100">
        <v>51</v>
      </c>
      <c r="L100" s="5"/>
    </row>
    <row r="101" spans="1:12" x14ac:dyDescent="0.2">
      <c r="A101">
        <v>14</v>
      </c>
      <c r="B101">
        <v>1</v>
      </c>
      <c r="C101" t="s">
        <v>9</v>
      </c>
      <c r="D101">
        <v>1</v>
      </c>
      <c r="E101">
        <v>4</v>
      </c>
      <c r="F101">
        <f t="shared" si="5"/>
        <v>28</v>
      </c>
      <c r="G101">
        <f t="shared" si="4"/>
        <v>0.875</v>
      </c>
      <c r="H101" t="s">
        <v>54</v>
      </c>
      <c r="I101">
        <v>49.1</v>
      </c>
      <c r="J101">
        <v>323</v>
      </c>
      <c r="K101">
        <v>153</v>
      </c>
      <c r="L101" s="5">
        <v>0.65517241379310343</v>
      </c>
    </row>
    <row r="102" spans="1:12" x14ac:dyDescent="0.2">
      <c r="A102">
        <v>14</v>
      </c>
      <c r="B102">
        <v>1</v>
      </c>
      <c r="C102" t="s">
        <v>9</v>
      </c>
      <c r="D102">
        <v>2</v>
      </c>
      <c r="E102">
        <v>0</v>
      </c>
      <c r="F102">
        <f t="shared" si="5"/>
        <v>32</v>
      </c>
      <c r="G102">
        <f>SUM(F102/32)</f>
        <v>1</v>
      </c>
      <c r="I102">
        <v>72</v>
      </c>
      <c r="J102">
        <v>454</v>
      </c>
      <c r="K102">
        <v>92</v>
      </c>
      <c r="L102" s="5"/>
    </row>
    <row r="103" spans="1:12" x14ac:dyDescent="0.2">
      <c r="A103">
        <v>14</v>
      </c>
      <c r="B103">
        <v>1</v>
      </c>
      <c r="C103" t="s">
        <v>9</v>
      </c>
      <c r="D103">
        <v>3</v>
      </c>
      <c r="E103">
        <v>1</v>
      </c>
      <c r="F103">
        <f t="shared" si="5"/>
        <v>31</v>
      </c>
      <c r="G103">
        <f t="shared" si="4"/>
        <v>0.96875</v>
      </c>
      <c r="H103" t="s">
        <v>55</v>
      </c>
      <c r="I103">
        <v>62.5</v>
      </c>
      <c r="J103">
        <v>365</v>
      </c>
      <c r="K103">
        <v>116</v>
      </c>
      <c r="L103" s="5"/>
    </row>
    <row r="104" spans="1:12" x14ac:dyDescent="0.2">
      <c r="A104">
        <v>14</v>
      </c>
      <c r="B104">
        <v>1</v>
      </c>
      <c r="C104" t="s">
        <v>15</v>
      </c>
      <c r="D104">
        <v>1</v>
      </c>
      <c r="E104">
        <v>2</v>
      </c>
      <c r="F104">
        <f t="shared" si="5"/>
        <v>30</v>
      </c>
      <c r="G104">
        <f t="shared" si="4"/>
        <v>0.9375</v>
      </c>
      <c r="H104" t="s">
        <v>56</v>
      </c>
      <c r="I104">
        <v>72.3</v>
      </c>
      <c r="J104">
        <v>425</v>
      </c>
      <c r="K104">
        <v>53</v>
      </c>
      <c r="L104" s="5"/>
    </row>
    <row r="105" spans="1:12" x14ac:dyDescent="0.2">
      <c r="A105">
        <v>14</v>
      </c>
      <c r="B105">
        <v>2</v>
      </c>
      <c r="C105" t="s">
        <v>9</v>
      </c>
      <c r="D105">
        <v>1</v>
      </c>
      <c r="E105">
        <v>4</v>
      </c>
      <c r="F105">
        <f t="shared" si="5"/>
        <v>28</v>
      </c>
      <c r="G105">
        <f t="shared" si="4"/>
        <v>0.875</v>
      </c>
      <c r="H105" t="s">
        <v>54</v>
      </c>
      <c r="I105">
        <v>79.099999999999994</v>
      </c>
      <c r="J105">
        <v>477</v>
      </c>
      <c r="K105">
        <v>81</v>
      </c>
      <c r="L105" s="5">
        <v>0.49572649572649574</v>
      </c>
    </row>
    <row r="106" spans="1:12" x14ac:dyDescent="0.2">
      <c r="A106">
        <v>14</v>
      </c>
      <c r="B106">
        <v>2</v>
      </c>
      <c r="C106" t="s">
        <v>9</v>
      </c>
      <c r="D106">
        <v>2</v>
      </c>
      <c r="E106">
        <v>0</v>
      </c>
      <c r="F106">
        <f t="shared" si="5"/>
        <v>32</v>
      </c>
      <c r="G106">
        <f>SUM(F106/32)</f>
        <v>1</v>
      </c>
      <c r="I106">
        <v>78.900000000000006</v>
      </c>
      <c r="J106">
        <v>476</v>
      </c>
      <c r="K106">
        <v>69</v>
      </c>
      <c r="L106" s="5"/>
    </row>
    <row r="107" spans="1:12" x14ac:dyDescent="0.2">
      <c r="A107">
        <v>14</v>
      </c>
      <c r="B107">
        <v>2</v>
      </c>
      <c r="C107" t="s">
        <v>9</v>
      </c>
      <c r="D107">
        <v>3</v>
      </c>
      <c r="E107">
        <v>0</v>
      </c>
      <c r="F107">
        <f t="shared" si="5"/>
        <v>32</v>
      </c>
      <c r="G107">
        <f t="shared" ref="G107:G131" si="6">SUM(F107/32)</f>
        <v>1</v>
      </c>
      <c r="I107">
        <v>47.8</v>
      </c>
      <c r="J107">
        <v>281</v>
      </c>
      <c r="K107">
        <v>152</v>
      </c>
      <c r="L107" s="5"/>
    </row>
    <row r="108" spans="1:12" x14ac:dyDescent="0.2">
      <c r="A108">
        <v>14</v>
      </c>
      <c r="B108">
        <v>2</v>
      </c>
      <c r="C108" t="s">
        <v>15</v>
      </c>
      <c r="D108">
        <v>1</v>
      </c>
      <c r="E108">
        <v>0</v>
      </c>
      <c r="F108">
        <f t="shared" si="5"/>
        <v>32</v>
      </c>
      <c r="G108">
        <f t="shared" si="6"/>
        <v>1</v>
      </c>
      <c r="I108">
        <v>63.7</v>
      </c>
      <c r="J108">
        <v>378</v>
      </c>
      <c r="K108">
        <v>73</v>
      </c>
      <c r="L108" s="5"/>
    </row>
    <row r="109" spans="1:12" x14ac:dyDescent="0.2">
      <c r="A109">
        <v>15</v>
      </c>
      <c r="B109">
        <v>1</v>
      </c>
      <c r="C109" t="s">
        <v>9</v>
      </c>
      <c r="D109">
        <v>1</v>
      </c>
      <c r="E109">
        <v>1</v>
      </c>
      <c r="F109">
        <f t="shared" si="5"/>
        <v>31</v>
      </c>
      <c r="G109">
        <f t="shared" si="6"/>
        <v>0.96875</v>
      </c>
      <c r="H109" t="s">
        <v>57</v>
      </c>
      <c r="I109">
        <v>41.6</v>
      </c>
      <c r="J109">
        <v>339</v>
      </c>
      <c r="K109">
        <v>170</v>
      </c>
      <c r="L109" s="5">
        <v>0.57499999999999996</v>
      </c>
    </row>
    <row r="110" spans="1:12" x14ac:dyDescent="0.2">
      <c r="A110">
        <v>15</v>
      </c>
      <c r="B110">
        <v>1</v>
      </c>
      <c r="C110" t="s">
        <v>9</v>
      </c>
      <c r="D110">
        <v>2</v>
      </c>
      <c r="E110">
        <v>0</v>
      </c>
      <c r="F110">
        <f t="shared" si="5"/>
        <v>32</v>
      </c>
      <c r="G110">
        <f t="shared" si="6"/>
        <v>1</v>
      </c>
      <c r="I110">
        <v>55.4</v>
      </c>
      <c r="J110">
        <v>422</v>
      </c>
      <c r="K110">
        <v>133</v>
      </c>
      <c r="L110" s="5"/>
    </row>
    <row r="111" spans="1:12" x14ac:dyDescent="0.2">
      <c r="A111">
        <v>15</v>
      </c>
      <c r="B111">
        <v>1</v>
      </c>
      <c r="C111" t="s">
        <v>9</v>
      </c>
      <c r="D111">
        <v>3</v>
      </c>
      <c r="E111">
        <v>0</v>
      </c>
      <c r="F111">
        <f>SUM(32-E111)</f>
        <v>32</v>
      </c>
      <c r="G111">
        <f t="shared" si="6"/>
        <v>1</v>
      </c>
      <c r="I111">
        <v>53.1</v>
      </c>
      <c r="J111">
        <v>381</v>
      </c>
      <c r="K111">
        <v>129</v>
      </c>
      <c r="L111" s="5"/>
    </row>
    <row r="112" spans="1:12" x14ac:dyDescent="0.2">
      <c r="A112">
        <v>15</v>
      </c>
      <c r="B112">
        <v>1</v>
      </c>
      <c r="C112" t="s">
        <v>15</v>
      </c>
      <c r="D112">
        <v>1</v>
      </c>
      <c r="E112">
        <v>1</v>
      </c>
      <c r="F112">
        <f t="shared" si="5"/>
        <v>31</v>
      </c>
      <c r="G112">
        <f t="shared" si="6"/>
        <v>0.96875</v>
      </c>
      <c r="H112" t="s">
        <v>57</v>
      </c>
      <c r="I112">
        <v>53.2</v>
      </c>
      <c r="J112">
        <v>327</v>
      </c>
      <c r="K112">
        <v>86</v>
      </c>
      <c r="L112" s="5"/>
    </row>
    <row r="113" spans="1:12" x14ac:dyDescent="0.2">
      <c r="A113">
        <v>15</v>
      </c>
      <c r="B113">
        <v>2</v>
      </c>
      <c r="C113" t="s">
        <v>9</v>
      </c>
      <c r="D113">
        <v>1</v>
      </c>
      <c r="E113">
        <v>2</v>
      </c>
      <c r="F113">
        <f t="shared" si="5"/>
        <v>30</v>
      </c>
      <c r="G113">
        <f t="shared" si="6"/>
        <v>0.9375</v>
      </c>
      <c r="H113" t="s">
        <v>50</v>
      </c>
      <c r="I113">
        <v>59.4</v>
      </c>
      <c r="J113">
        <v>462</v>
      </c>
      <c r="K113">
        <v>101</v>
      </c>
      <c r="L113" s="5">
        <v>0.59649122807017541</v>
      </c>
    </row>
    <row r="114" spans="1:12" x14ac:dyDescent="0.2">
      <c r="A114">
        <v>15</v>
      </c>
      <c r="B114">
        <v>2</v>
      </c>
      <c r="C114" t="s">
        <v>9</v>
      </c>
      <c r="D114">
        <v>2</v>
      </c>
      <c r="E114">
        <v>2</v>
      </c>
      <c r="F114">
        <f t="shared" si="5"/>
        <v>30</v>
      </c>
      <c r="G114">
        <f t="shared" si="6"/>
        <v>0.9375</v>
      </c>
      <c r="H114" t="s">
        <v>58</v>
      </c>
      <c r="I114">
        <v>43.3</v>
      </c>
      <c r="J114">
        <v>377</v>
      </c>
      <c r="K114">
        <v>109</v>
      </c>
      <c r="L114" s="5"/>
    </row>
    <row r="115" spans="1:12" x14ac:dyDescent="0.2">
      <c r="A115">
        <v>15</v>
      </c>
      <c r="B115">
        <v>2</v>
      </c>
      <c r="C115" t="s">
        <v>9</v>
      </c>
      <c r="D115">
        <v>3</v>
      </c>
      <c r="E115">
        <v>2</v>
      </c>
      <c r="F115">
        <f t="shared" si="5"/>
        <v>30</v>
      </c>
      <c r="G115">
        <f t="shared" si="6"/>
        <v>0.9375</v>
      </c>
      <c r="H115" t="s">
        <v>58</v>
      </c>
      <c r="I115">
        <v>52.9</v>
      </c>
      <c r="J115">
        <v>386</v>
      </c>
      <c r="K115">
        <v>98</v>
      </c>
      <c r="L115" s="5"/>
    </row>
    <row r="116" spans="1:12" x14ac:dyDescent="0.2">
      <c r="A116">
        <v>15</v>
      </c>
      <c r="B116">
        <v>2</v>
      </c>
      <c r="C116" t="s">
        <v>15</v>
      </c>
      <c r="D116">
        <v>1</v>
      </c>
      <c r="E116">
        <v>4</v>
      </c>
      <c r="F116">
        <f t="shared" si="5"/>
        <v>28</v>
      </c>
      <c r="G116">
        <f t="shared" si="6"/>
        <v>0.875</v>
      </c>
      <c r="H116" t="s">
        <v>59</v>
      </c>
      <c r="I116">
        <v>69.900000000000006</v>
      </c>
      <c r="J116">
        <v>416</v>
      </c>
      <c r="K116">
        <v>53</v>
      </c>
      <c r="L116" s="5"/>
    </row>
    <row r="117" spans="1:12" x14ac:dyDescent="0.2">
      <c r="A117">
        <v>16</v>
      </c>
      <c r="B117">
        <v>1</v>
      </c>
      <c r="C117" t="s">
        <v>9</v>
      </c>
      <c r="D117">
        <v>1</v>
      </c>
      <c r="E117">
        <v>3</v>
      </c>
      <c r="F117">
        <f t="shared" si="5"/>
        <v>29</v>
      </c>
      <c r="G117">
        <f t="shared" si="6"/>
        <v>0.90625</v>
      </c>
      <c r="H117" t="s">
        <v>60</v>
      </c>
      <c r="I117">
        <v>49.2</v>
      </c>
      <c r="J117">
        <v>336</v>
      </c>
      <c r="K117">
        <v>119</v>
      </c>
      <c r="L117" s="5">
        <v>0.5130434782608696</v>
      </c>
    </row>
    <row r="118" spans="1:12" x14ac:dyDescent="0.2">
      <c r="A118">
        <v>16</v>
      </c>
      <c r="B118">
        <v>1</v>
      </c>
      <c r="C118" t="s">
        <v>9</v>
      </c>
      <c r="D118">
        <v>2</v>
      </c>
      <c r="E118">
        <v>2</v>
      </c>
      <c r="F118">
        <f>SUM(32-E118)</f>
        <v>30</v>
      </c>
      <c r="G118">
        <f t="shared" si="6"/>
        <v>0.9375</v>
      </c>
      <c r="H118" t="s">
        <v>45</v>
      </c>
      <c r="I118">
        <v>75.900000000000006</v>
      </c>
      <c r="J118">
        <v>506</v>
      </c>
      <c r="K118">
        <v>79</v>
      </c>
      <c r="L118" s="5"/>
    </row>
    <row r="119" spans="1:12" x14ac:dyDescent="0.2">
      <c r="A119">
        <v>16</v>
      </c>
      <c r="B119">
        <v>1</v>
      </c>
      <c r="C119" t="s">
        <v>9</v>
      </c>
      <c r="D119">
        <v>3</v>
      </c>
      <c r="E119">
        <v>2</v>
      </c>
      <c r="F119">
        <f t="shared" ref="F119:F142" si="7">SUM(32-E119)</f>
        <v>30</v>
      </c>
      <c r="G119">
        <f t="shared" si="6"/>
        <v>0.9375</v>
      </c>
      <c r="H119" t="s">
        <v>45</v>
      </c>
      <c r="I119">
        <v>71.3</v>
      </c>
      <c r="J119">
        <v>468</v>
      </c>
      <c r="K119">
        <v>73</v>
      </c>
      <c r="L119" s="5"/>
    </row>
    <row r="120" spans="1:12" x14ac:dyDescent="0.2">
      <c r="A120">
        <v>16</v>
      </c>
      <c r="B120">
        <v>1</v>
      </c>
      <c r="C120" t="s">
        <v>15</v>
      </c>
      <c r="D120">
        <v>1</v>
      </c>
      <c r="E120">
        <v>2</v>
      </c>
      <c r="F120">
        <f t="shared" si="7"/>
        <v>30</v>
      </c>
      <c r="G120">
        <f t="shared" si="6"/>
        <v>0.9375</v>
      </c>
      <c r="H120" t="s">
        <v>31</v>
      </c>
      <c r="I120">
        <v>37.5</v>
      </c>
      <c r="J120">
        <v>363</v>
      </c>
      <c r="K120">
        <v>67</v>
      </c>
      <c r="L120" s="5"/>
    </row>
    <row r="121" spans="1:12" x14ac:dyDescent="0.2">
      <c r="A121">
        <v>16</v>
      </c>
      <c r="B121">
        <v>2</v>
      </c>
      <c r="C121" t="s">
        <v>9</v>
      </c>
      <c r="D121">
        <v>1</v>
      </c>
      <c r="E121">
        <v>1</v>
      </c>
      <c r="F121">
        <f t="shared" si="7"/>
        <v>31</v>
      </c>
      <c r="G121">
        <f t="shared" si="6"/>
        <v>0.96875</v>
      </c>
      <c r="H121" t="s">
        <v>10</v>
      </c>
      <c r="I121">
        <v>51.8</v>
      </c>
      <c r="J121">
        <v>337</v>
      </c>
      <c r="K121">
        <v>89</v>
      </c>
      <c r="L121" s="5">
        <v>0.58260869565217388</v>
      </c>
    </row>
    <row r="122" spans="1:12" x14ac:dyDescent="0.2">
      <c r="A122">
        <v>16</v>
      </c>
      <c r="B122">
        <v>2</v>
      </c>
      <c r="C122" t="s">
        <v>9</v>
      </c>
      <c r="D122">
        <v>2</v>
      </c>
      <c r="E122">
        <v>2</v>
      </c>
      <c r="F122">
        <f t="shared" si="7"/>
        <v>30</v>
      </c>
      <c r="G122">
        <f t="shared" si="6"/>
        <v>0.9375</v>
      </c>
      <c r="H122" t="s">
        <v>31</v>
      </c>
      <c r="I122">
        <v>51.2</v>
      </c>
      <c r="J122">
        <v>341</v>
      </c>
      <c r="K122">
        <v>127</v>
      </c>
      <c r="L122" s="5"/>
    </row>
    <row r="123" spans="1:12" x14ac:dyDescent="0.2">
      <c r="A123">
        <v>16</v>
      </c>
      <c r="B123">
        <v>2</v>
      </c>
      <c r="C123" t="s">
        <v>9</v>
      </c>
      <c r="D123">
        <v>3</v>
      </c>
      <c r="E123">
        <v>2</v>
      </c>
      <c r="F123">
        <f t="shared" si="7"/>
        <v>30</v>
      </c>
      <c r="G123">
        <f t="shared" si="6"/>
        <v>0.9375</v>
      </c>
      <c r="H123" t="s">
        <v>31</v>
      </c>
      <c r="I123">
        <v>59.8</v>
      </c>
      <c r="J123">
        <v>373</v>
      </c>
      <c r="K123">
        <v>113</v>
      </c>
      <c r="L123" s="5"/>
    </row>
    <row r="124" spans="1:12" x14ac:dyDescent="0.2">
      <c r="A124">
        <v>16</v>
      </c>
      <c r="B124">
        <v>2</v>
      </c>
      <c r="C124" t="s">
        <v>15</v>
      </c>
      <c r="D124">
        <v>1</v>
      </c>
      <c r="E124">
        <v>4</v>
      </c>
      <c r="F124">
        <f t="shared" si="7"/>
        <v>28</v>
      </c>
      <c r="G124">
        <f t="shared" si="6"/>
        <v>0.875</v>
      </c>
      <c r="H124" t="s">
        <v>61</v>
      </c>
      <c r="I124">
        <v>81.900000000000006</v>
      </c>
      <c r="J124">
        <v>473</v>
      </c>
      <c r="K124">
        <v>22</v>
      </c>
      <c r="L124" s="5"/>
    </row>
    <row r="125" spans="1:12" x14ac:dyDescent="0.2">
      <c r="A125">
        <v>17</v>
      </c>
      <c r="B125">
        <v>1</v>
      </c>
      <c r="C125" t="s">
        <v>9</v>
      </c>
      <c r="D125">
        <v>1</v>
      </c>
      <c r="E125">
        <v>1</v>
      </c>
      <c r="F125">
        <f t="shared" si="7"/>
        <v>31</v>
      </c>
      <c r="G125">
        <f t="shared" si="6"/>
        <v>0.96875</v>
      </c>
      <c r="H125" t="s">
        <v>62</v>
      </c>
      <c r="I125">
        <v>75.599999999999994</v>
      </c>
      <c r="J125">
        <v>525</v>
      </c>
      <c r="K125">
        <v>70</v>
      </c>
      <c r="L125" s="5">
        <v>0.42016806722689076</v>
      </c>
    </row>
    <row r="126" spans="1:12" x14ac:dyDescent="0.2">
      <c r="A126">
        <v>17</v>
      </c>
      <c r="B126">
        <v>1</v>
      </c>
      <c r="C126" t="s">
        <v>9</v>
      </c>
      <c r="D126">
        <v>2</v>
      </c>
      <c r="E126">
        <v>1</v>
      </c>
      <c r="F126">
        <f t="shared" si="7"/>
        <v>31</v>
      </c>
      <c r="G126">
        <f t="shared" si="6"/>
        <v>0.96875</v>
      </c>
      <c r="H126" t="s">
        <v>62</v>
      </c>
      <c r="I126">
        <v>71.7</v>
      </c>
      <c r="J126">
        <v>468</v>
      </c>
      <c r="K126">
        <v>81</v>
      </c>
      <c r="L126" s="5"/>
    </row>
    <row r="127" spans="1:12" x14ac:dyDescent="0.2">
      <c r="A127">
        <v>17</v>
      </c>
      <c r="B127">
        <v>1</v>
      </c>
      <c r="C127" t="s">
        <v>9</v>
      </c>
      <c r="D127">
        <v>3</v>
      </c>
      <c r="E127">
        <v>1</v>
      </c>
      <c r="F127">
        <f t="shared" si="7"/>
        <v>31</v>
      </c>
      <c r="G127">
        <f t="shared" si="6"/>
        <v>0.96875</v>
      </c>
      <c r="H127" t="s">
        <v>62</v>
      </c>
      <c r="I127">
        <v>71.2</v>
      </c>
      <c r="J127">
        <v>462</v>
      </c>
      <c r="K127">
        <v>83</v>
      </c>
      <c r="L127" s="5"/>
    </row>
    <row r="128" spans="1:12" x14ac:dyDescent="0.2">
      <c r="A128">
        <v>17</v>
      </c>
      <c r="B128">
        <v>1</v>
      </c>
      <c r="C128" t="s">
        <v>15</v>
      </c>
      <c r="D128">
        <v>1</v>
      </c>
      <c r="E128">
        <v>2</v>
      </c>
      <c r="F128">
        <f t="shared" si="7"/>
        <v>30</v>
      </c>
      <c r="G128">
        <f t="shared" si="6"/>
        <v>0.9375</v>
      </c>
      <c r="H128" t="s">
        <v>46</v>
      </c>
      <c r="I128">
        <v>82</v>
      </c>
      <c r="J128">
        <v>484</v>
      </c>
      <c r="K128">
        <v>35</v>
      </c>
      <c r="L128" s="5"/>
    </row>
    <row r="129" spans="1:12" x14ac:dyDescent="0.2">
      <c r="A129">
        <v>17</v>
      </c>
      <c r="B129">
        <v>2</v>
      </c>
      <c r="C129" t="s">
        <v>9</v>
      </c>
      <c r="D129">
        <v>1</v>
      </c>
      <c r="E129">
        <v>3</v>
      </c>
      <c r="F129">
        <f t="shared" si="7"/>
        <v>29</v>
      </c>
      <c r="G129">
        <f t="shared" si="6"/>
        <v>0.90625</v>
      </c>
      <c r="H129" t="s">
        <v>63</v>
      </c>
      <c r="I129">
        <v>68.7</v>
      </c>
      <c r="J129">
        <v>472</v>
      </c>
      <c r="K129">
        <v>82</v>
      </c>
      <c r="L129" s="5">
        <v>0.5431034482758621</v>
      </c>
    </row>
    <row r="130" spans="1:12" x14ac:dyDescent="0.2">
      <c r="A130">
        <v>17</v>
      </c>
      <c r="B130">
        <v>2</v>
      </c>
      <c r="C130" t="s">
        <v>9</v>
      </c>
      <c r="D130">
        <v>2</v>
      </c>
      <c r="E130">
        <v>2</v>
      </c>
      <c r="F130">
        <f t="shared" si="7"/>
        <v>30</v>
      </c>
      <c r="G130">
        <f t="shared" si="6"/>
        <v>0.9375</v>
      </c>
      <c r="H130" t="s">
        <v>46</v>
      </c>
      <c r="I130">
        <v>70.3</v>
      </c>
      <c r="J130">
        <v>467</v>
      </c>
      <c r="K130">
        <v>86</v>
      </c>
      <c r="L130" s="5"/>
    </row>
    <row r="131" spans="1:12" x14ac:dyDescent="0.2">
      <c r="A131">
        <v>17</v>
      </c>
      <c r="B131">
        <v>2</v>
      </c>
      <c r="C131" t="s">
        <v>9</v>
      </c>
      <c r="D131">
        <v>3</v>
      </c>
      <c r="E131">
        <v>2</v>
      </c>
      <c r="F131">
        <f t="shared" si="7"/>
        <v>30</v>
      </c>
      <c r="G131">
        <f t="shared" si="6"/>
        <v>0.9375</v>
      </c>
      <c r="H131" t="s">
        <v>64</v>
      </c>
      <c r="I131">
        <v>73.7</v>
      </c>
      <c r="J131">
        <v>473</v>
      </c>
      <c r="K131">
        <v>71</v>
      </c>
      <c r="L131" s="5"/>
    </row>
    <row r="132" spans="1:12" x14ac:dyDescent="0.2">
      <c r="A132">
        <v>17</v>
      </c>
      <c r="B132">
        <v>2</v>
      </c>
      <c r="C132" t="s">
        <v>15</v>
      </c>
      <c r="D132">
        <v>1</v>
      </c>
      <c r="E132">
        <v>1</v>
      </c>
      <c r="F132">
        <f t="shared" si="7"/>
        <v>31</v>
      </c>
      <c r="G132">
        <f>SUM(F132/32)</f>
        <v>0.96875</v>
      </c>
      <c r="H132" t="s">
        <v>21</v>
      </c>
      <c r="I132">
        <v>63.7</v>
      </c>
      <c r="J132">
        <v>498</v>
      </c>
      <c r="K132">
        <v>89</v>
      </c>
      <c r="L132" s="5"/>
    </row>
    <row r="133" spans="1:12" x14ac:dyDescent="0.2">
      <c r="A133">
        <v>18</v>
      </c>
      <c r="B133">
        <v>1</v>
      </c>
      <c r="C133" t="s">
        <v>9</v>
      </c>
      <c r="D133">
        <v>1</v>
      </c>
      <c r="E133">
        <v>3</v>
      </c>
      <c r="F133">
        <f t="shared" si="7"/>
        <v>29</v>
      </c>
      <c r="G133">
        <f>SUM(F133/32)</f>
        <v>0.90625</v>
      </c>
      <c r="H133" t="s">
        <v>65</v>
      </c>
      <c r="I133">
        <v>64.900000000000006</v>
      </c>
      <c r="J133">
        <v>509</v>
      </c>
      <c r="K133">
        <v>134</v>
      </c>
      <c r="L133" s="5">
        <v>0.60526315789473684</v>
      </c>
    </row>
    <row r="134" spans="1:12" x14ac:dyDescent="0.2">
      <c r="A134">
        <v>18</v>
      </c>
      <c r="B134">
        <v>1</v>
      </c>
      <c r="C134" t="s">
        <v>9</v>
      </c>
      <c r="D134">
        <v>2</v>
      </c>
      <c r="E134">
        <v>3</v>
      </c>
      <c r="F134">
        <f t="shared" si="7"/>
        <v>29</v>
      </c>
      <c r="G134">
        <f t="shared" ref="G134:G158" si="8">SUM(F134/32)</f>
        <v>0.90625</v>
      </c>
      <c r="H134" t="s">
        <v>66</v>
      </c>
      <c r="I134">
        <v>74.3</v>
      </c>
      <c r="J134">
        <v>521</v>
      </c>
      <c r="K134">
        <v>80</v>
      </c>
      <c r="L134" s="5"/>
    </row>
    <row r="135" spans="1:12" x14ac:dyDescent="0.2">
      <c r="A135">
        <v>18</v>
      </c>
      <c r="B135">
        <v>1</v>
      </c>
      <c r="C135" t="s">
        <v>9</v>
      </c>
      <c r="D135">
        <v>3</v>
      </c>
      <c r="E135">
        <v>3</v>
      </c>
      <c r="F135">
        <f t="shared" si="7"/>
        <v>29</v>
      </c>
      <c r="G135">
        <f t="shared" si="8"/>
        <v>0.90625</v>
      </c>
      <c r="H135" t="s">
        <v>66</v>
      </c>
      <c r="I135">
        <v>69.900000000000006</v>
      </c>
      <c r="J135">
        <v>453</v>
      </c>
      <c r="K135">
        <v>103</v>
      </c>
      <c r="L135" s="5"/>
    </row>
    <row r="136" spans="1:12" x14ac:dyDescent="0.2">
      <c r="A136">
        <v>18</v>
      </c>
      <c r="B136">
        <v>1</v>
      </c>
      <c r="C136" t="s">
        <v>15</v>
      </c>
      <c r="D136">
        <v>1</v>
      </c>
      <c r="E136">
        <v>1</v>
      </c>
      <c r="F136">
        <f t="shared" si="7"/>
        <v>31</v>
      </c>
      <c r="G136">
        <f t="shared" si="8"/>
        <v>0.96875</v>
      </c>
      <c r="H136" t="s">
        <v>10</v>
      </c>
      <c r="I136">
        <v>41.5</v>
      </c>
      <c r="J136">
        <v>248</v>
      </c>
      <c r="K136">
        <v>101</v>
      </c>
      <c r="L136" s="5"/>
    </row>
    <row r="137" spans="1:12" x14ac:dyDescent="0.2">
      <c r="A137">
        <v>18</v>
      </c>
      <c r="B137">
        <v>2</v>
      </c>
      <c r="C137" t="s">
        <v>9</v>
      </c>
      <c r="D137">
        <v>1</v>
      </c>
      <c r="E137">
        <v>0</v>
      </c>
      <c r="F137">
        <f t="shared" si="7"/>
        <v>32</v>
      </c>
      <c r="G137">
        <f t="shared" si="8"/>
        <v>1</v>
      </c>
      <c r="I137">
        <v>48.7</v>
      </c>
      <c r="J137">
        <v>332</v>
      </c>
      <c r="K137">
        <v>152</v>
      </c>
      <c r="L137" s="5">
        <v>0.53781512605042014</v>
      </c>
    </row>
    <row r="138" spans="1:12" x14ac:dyDescent="0.2">
      <c r="A138">
        <v>18</v>
      </c>
      <c r="B138">
        <v>2</v>
      </c>
      <c r="C138" t="s">
        <v>9</v>
      </c>
      <c r="D138">
        <v>2</v>
      </c>
      <c r="E138">
        <v>0</v>
      </c>
      <c r="F138">
        <f t="shared" si="7"/>
        <v>32</v>
      </c>
      <c r="G138">
        <f t="shared" si="8"/>
        <v>1</v>
      </c>
      <c r="I138">
        <v>48.1</v>
      </c>
      <c r="J138">
        <v>310</v>
      </c>
      <c r="K138">
        <v>138</v>
      </c>
      <c r="L138" s="5"/>
    </row>
    <row r="139" spans="1:12" x14ac:dyDescent="0.2">
      <c r="A139">
        <v>18</v>
      </c>
      <c r="B139">
        <v>2</v>
      </c>
      <c r="C139" t="s">
        <v>9</v>
      </c>
      <c r="D139">
        <v>3</v>
      </c>
      <c r="E139">
        <v>2</v>
      </c>
      <c r="F139">
        <f t="shared" si="7"/>
        <v>30</v>
      </c>
      <c r="G139">
        <f t="shared" si="8"/>
        <v>0.9375</v>
      </c>
      <c r="H139" t="s">
        <v>67</v>
      </c>
      <c r="I139">
        <v>56.4</v>
      </c>
      <c r="J139">
        <v>348</v>
      </c>
      <c r="K139">
        <v>116</v>
      </c>
      <c r="L139" s="5"/>
    </row>
    <row r="140" spans="1:12" x14ac:dyDescent="0.2">
      <c r="A140">
        <v>18</v>
      </c>
      <c r="B140">
        <v>2</v>
      </c>
      <c r="C140" t="s">
        <v>15</v>
      </c>
      <c r="D140">
        <v>1</v>
      </c>
      <c r="E140">
        <v>0</v>
      </c>
      <c r="F140">
        <f t="shared" si="7"/>
        <v>32</v>
      </c>
      <c r="G140">
        <f t="shared" si="8"/>
        <v>1</v>
      </c>
      <c r="I140">
        <v>63.3</v>
      </c>
      <c r="J140">
        <v>363</v>
      </c>
      <c r="K140">
        <v>66</v>
      </c>
      <c r="L140" s="5"/>
    </row>
    <row r="141" spans="1:12" x14ac:dyDescent="0.2">
      <c r="A141">
        <v>19</v>
      </c>
      <c r="B141">
        <v>1</v>
      </c>
      <c r="C141" t="s">
        <v>9</v>
      </c>
      <c r="D141">
        <v>1</v>
      </c>
      <c r="E141">
        <v>0</v>
      </c>
      <c r="F141">
        <f t="shared" si="7"/>
        <v>32</v>
      </c>
      <c r="G141">
        <f t="shared" si="8"/>
        <v>1</v>
      </c>
      <c r="I141">
        <v>64.900000000000006</v>
      </c>
      <c r="J141">
        <v>518</v>
      </c>
      <c r="K141">
        <v>90</v>
      </c>
      <c r="L141" s="5">
        <v>0.625</v>
      </c>
    </row>
    <row r="142" spans="1:12" x14ac:dyDescent="0.2">
      <c r="A142">
        <v>19</v>
      </c>
      <c r="B142">
        <v>1</v>
      </c>
      <c r="C142" t="s">
        <v>9</v>
      </c>
      <c r="D142">
        <v>2</v>
      </c>
      <c r="E142">
        <v>0</v>
      </c>
      <c r="F142">
        <f t="shared" si="7"/>
        <v>32</v>
      </c>
      <c r="G142">
        <f t="shared" si="8"/>
        <v>1</v>
      </c>
      <c r="I142">
        <v>76.400000000000006</v>
      </c>
      <c r="J142">
        <v>550</v>
      </c>
      <c r="K142">
        <v>58</v>
      </c>
      <c r="L142" s="5"/>
    </row>
    <row r="143" spans="1:12" x14ac:dyDescent="0.2">
      <c r="A143">
        <v>19</v>
      </c>
      <c r="B143">
        <v>1</v>
      </c>
      <c r="C143" t="s">
        <v>9</v>
      </c>
      <c r="D143">
        <v>3</v>
      </c>
      <c r="E143">
        <v>0</v>
      </c>
      <c r="F143">
        <f>SUM(32-E143)</f>
        <v>32</v>
      </c>
      <c r="G143">
        <f t="shared" si="8"/>
        <v>1</v>
      </c>
      <c r="I143">
        <v>76.099999999999994</v>
      </c>
      <c r="J143">
        <v>520</v>
      </c>
      <c r="K143">
        <v>49</v>
      </c>
      <c r="L143" s="5"/>
    </row>
    <row r="144" spans="1:12" x14ac:dyDescent="0.2">
      <c r="A144">
        <v>19</v>
      </c>
      <c r="B144">
        <v>1</v>
      </c>
      <c r="C144" t="s">
        <v>15</v>
      </c>
      <c r="D144">
        <v>1</v>
      </c>
      <c r="E144">
        <v>0</v>
      </c>
      <c r="F144">
        <f t="shared" ref="F144:F167" si="9">SUM(32-E144)</f>
        <v>32</v>
      </c>
      <c r="G144">
        <f t="shared" si="8"/>
        <v>1</v>
      </c>
      <c r="I144">
        <v>68.7</v>
      </c>
      <c r="J144">
        <v>453</v>
      </c>
      <c r="K144">
        <v>31</v>
      </c>
      <c r="L144" s="5"/>
    </row>
    <row r="145" spans="1:12" x14ac:dyDescent="0.2">
      <c r="A145">
        <v>19</v>
      </c>
      <c r="B145">
        <v>2</v>
      </c>
      <c r="C145" t="s">
        <v>9</v>
      </c>
      <c r="D145">
        <v>1</v>
      </c>
      <c r="E145">
        <v>0</v>
      </c>
      <c r="F145">
        <f t="shared" si="9"/>
        <v>32</v>
      </c>
      <c r="G145">
        <f t="shared" si="8"/>
        <v>1</v>
      </c>
      <c r="I145">
        <v>70.599999999999994</v>
      </c>
      <c r="J145">
        <v>497</v>
      </c>
      <c r="K145">
        <v>68</v>
      </c>
      <c r="L145" s="5">
        <v>0.57499999999999996</v>
      </c>
    </row>
    <row r="146" spans="1:12" x14ac:dyDescent="0.2">
      <c r="A146">
        <v>19</v>
      </c>
      <c r="B146">
        <v>2</v>
      </c>
      <c r="C146" t="s">
        <v>9</v>
      </c>
      <c r="D146">
        <v>2</v>
      </c>
      <c r="E146">
        <v>0</v>
      </c>
      <c r="F146">
        <f t="shared" si="9"/>
        <v>32</v>
      </c>
      <c r="G146">
        <f t="shared" si="8"/>
        <v>1</v>
      </c>
      <c r="I146">
        <v>80</v>
      </c>
      <c r="J146">
        <v>573</v>
      </c>
      <c r="K146">
        <v>58</v>
      </c>
      <c r="L146" s="5"/>
    </row>
    <row r="147" spans="1:12" x14ac:dyDescent="0.2">
      <c r="A147">
        <v>19</v>
      </c>
      <c r="B147">
        <v>2</v>
      </c>
      <c r="C147" t="s">
        <v>9</v>
      </c>
      <c r="D147">
        <v>3</v>
      </c>
      <c r="E147">
        <v>0</v>
      </c>
      <c r="F147">
        <f t="shared" si="9"/>
        <v>32</v>
      </c>
      <c r="G147">
        <f t="shared" si="8"/>
        <v>1</v>
      </c>
      <c r="I147">
        <v>79.2</v>
      </c>
      <c r="J147">
        <v>569</v>
      </c>
      <c r="K147">
        <v>55</v>
      </c>
      <c r="L147" s="5"/>
    </row>
    <row r="148" spans="1:12" x14ac:dyDescent="0.2">
      <c r="A148">
        <v>19</v>
      </c>
      <c r="B148">
        <v>2</v>
      </c>
      <c r="C148" t="s">
        <v>15</v>
      </c>
      <c r="D148">
        <v>1</v>
      </c>
      <c r="E148">
        <v>0</v>
      </c>
      <c r="F148">
        <f t="shared" si="9"/>
        <v>32</v>
      </c>
      <c r="G148">
        <f t="shared" si="8"/>
        <v>1</v>
      </c>
      <c r="I148">
        <v>69</v>
      </c>
      <c r="J148">
        <v>425</v>
      </c>
      <c r="K148">
        <v>45</v>
      </c>
      <c r="L148" s="5"/>
    </row>
    <row r="149" spans="1:12" x14ac:dyDescent="0.2">
      <c r="A149">
        <v>20</v>
      </c>
      <c r="B149">
        <v>1</v>
      </c>
      <c r="C149" t="s">
        <v>9</v>
      </c>
      <c r="D149">
        <v>1</v>
      </c>
      <c r="E149">
        <v>0</v>
      </c>
      <c r="F149">
        <f t="shared" si="9"/>
        <v>32</v>
      </c>
      <c r="G149">
        <f t="shared" si="8"/>
        <v>1</v>
      </c>
      <c r="I149">
        <v>82.3</v>
      </c>
      <c r="J149">
        <v>595</v>
      </c>
      <c r="K149">
        <v>49</v>
      </c>
      <c r="L149" s="5">
        <v>0.60833333333333328</v>
      </c>
    </row>
    <row r="150" spans="1:12" x14ac:dyDescent="0.2">
      <c r="A150">
        <v>20</v>
      </c>
      <c r="B150">
        <v>1</v>
      </c>
      <c r="C150" t="s">
        <v>9</v>
      </c>
      <c r="D150">
        <v>2</v>
      </c>
      <c r="E150">
        <v>0</v>
      </c>
      <c r="F150">
        <f t="shared" si="9"/>
        <v>32</v>
      </c>
      <c r="G150">
        <f t="shared" si="8"/>
        <v>1</v>
      </c>
      <c r="I150">
        <v>83.4</v>
      </c>
      <c r="J150">
        <v>517</v>
      </c>
      <c r="K150">
        <v>35</v>
      </c>
      <c r="L150" s="5"/>
    </row>
    <row r="151" spans="1:12" x14ac:dyDescent="0.2">
      <c r="A151">
        <v>20</v>
      </c>
      <c r="B151">
        <v>1</v>
      </c>
      <c r="C151" t="s">
        <v>9</v>
      </c>
      <c r="D151">
        <v>3</v>
      </c>
      <c r="E151">
        <v>0</v>
      </c>
      <c r="F151">
        <f t="shared" si="9"/>
        <v>32</v>
      </c>
      <c r="G151">
        <f t="shared" si="8"/>
        <v>1</v>
      </c>
      <c r="I151">
        <v>76.400000000000006</v>
      </c>
      <c r="J151">
        <v>430</v>
      </c>
      <c r="K151">
        <v>51</v>
      </c>
      <c r="L151" s="5"/>
    </row>
    <row r="152" spans="1:12" x14ac:dyDescent="0.2">
      <c r="A152">
        <v>20</v>
      </c>
      <c r="B152">
        <v>1</v>
      </c>
      <c r="C152" t="s">
        <v>15</v>
      </c>
      <c r="D152">
        <v>1</v>
      </c>
      <c r="E152">
        <v>0</v>
      </c>
      <c r="F152">
        <f t="shared" si="9"/>
        <v>32</v>
      </c>
      <c r="G152">
        <f t="shared" si="8"/>
        <v>1</v>
      </c>
      <c r="I152">
        <v>87.3</v>
      </c>
      <c r="J152">
        <v>496</v>
      </c>
      <c r="K152">
        <v>20</v>
      </c>
      <c r="L152" s="5"/>
    </row>
    <row r="153" spans="1:12" x14ac:dyDescent="0.2">
      <c r="A153">
        <v>20</v>
      </c>
      <c r="B153">
        <v>2</v>
      </c>
      <c r="C153" t="s">
        <v>9</v>
      </c>
      <c r="D153">
        <v>1</v>
      </c>
      <c r="E153">
        <v>1</v>
      </c>
      <c r="F153">
        <f t="shared" si="9"/>
        <v>31</v>
      </c>
      <c r="G153">
        <f t="shared" si="8"/>
        <v>0.96875</v>
      </c>
      <c r="H153" t="s">
        <v>42</v>
      </c>
      <c r="I153">
        <v>66.099999999999994</v>
      </c>
      <c r="J153">
        <v>425</v>
      </c>
      <c r="K153">
        <v>67</v>
      </c>
      <c r="L153" s="5">
        <v>0.48739495798319327</v>
      </c>
    </row>
    <row r="154" spans="1:12" x14ac:dyDescent="0.2">
      <c r="A154">
        <v>20</v>
      </c>
      <c r="B154">
        <v>2</v>
      </c>
      <c r="C154" t="s">
        <v>9</v>
      </c>
      <c r="D154">
        <v>2</v>
      </c>
      <c r="E154">
        <v>1</v>
      </c>
      <c r="F154">
        <f t="shared" si="9"/>
        <v>31</v>
      </c>
      <c r="G154">
        <f t="shared" si="8"/>
        <v>0.96875</v>
      </c>
      <c r="H154" t="s">
        <v>42</v>
      </c>
      <c r="I154">
        <v>62.5</v>
      </c>
      <c r="J154">
        <v>331</v>
      </c>
      <c r="K154">
        <v>55</v>
      </c>
      <c r="L154" s="5"/>
    </row>
    <row r="155" spans="1:12" x14ac:dyDescent="0.2">
      <c r="A155">
        <v>20</v>
      </c>
      <c r="B155">
        <v>2</v>
      </c>
      <c r="C155" t="s">
        <v>9</v>
      </c>
      <c r="D155">
        <v>3</v>
      </c>
      <c r="E155">
        <v>1</v>
      </c>
      <c r="F155">
        <f t="shared" si="9"/>
        <v>31</v>
      </c>
      <c r="G155">
        <f t="shared" si="8"/>
        <v>0.96875</v>
      </c>
      <c r="H155" t="s">
        <v>42</v>
      </c>
      <c r="I155">
        <v>56.8</v>
      </c>
      <c r="J155">
        <v>299</v>
      </c>
      <c r="K155">
        <v>63</v>
      </c>
      <c r="L155" s="5"/>
    </row>
    <row r="156" spans="1:12" x14ac:dyDescent="0.2">
      <c r="A156">
        <v>20</v>
      </c>
      <c r="B156">
        <v>2</v>
      </c>
      <c r="C156" t="s">
        <v>15</v>
      </c>
      <c r="D156">
        <v>1</v>
      </c>
      <c r="E156">
        <v>2</v>
      </c>
      <c r="F156">
        <f t="shared" si="9"/>
        <v>30</v>
      </c>
      <c r="G156">
        <f t="shared" si="8"/>
        <v>0.9375</v>
      </c>
      <c r="H156" t="s">
        <v>68</v>
      </c>
      <c r="I156">
        <v>65.599999999999994</v>
      </c>
      <c r="J156">
        <v>434</v>
      </c>
      <c r="K156">
        <v>25</v>
      </c>
      <c r="L156" s="5"/>
    </row>
    <row r="157" spans="1:12" x14ac:dyDescent="0.2">
      <c r="A157">
        <v>21</v>
      </c>
      <c r="B157">
        <v>1</v>
      </c>
      <c r="C157" t="s">
        <v>9</v>
      </c>
      <c r="D157">
        <v>1</v>
      </c>
      <c r="E157">
        <v>0</v>
      </c>
      <c r="F157">
        <f t="shared" si="9"/>
        <v>32</v>
      </c>
      <c r="G157">
        <f t="shared" si="8"/>
        <v>1</v>
      </c>
      <c r="I157">
        <v>76.400000000000006</v>
      </c>
      <c r="J157">
        <v>475</v>
      </c>
      <c r="K157">
        <v>38</v>
      </c>
      <c r="L157" s="5">
        <v>0.45833333333333331</v>
      </c>
    </row>
    <row r="158" spans="1:12" x14ac:dyDescent="0.2">
      <c r="A158">
        <v>21</v>
      </c>
      <c r="B158">
        <v>1</v>
      </c>
      <c r="C158" t="s">
        <v>9</v>
      </c>
      <c r="D158">
        <v>2</v>
      </c>
      <c r="E158">
        <v>0</v>
      </c>
      <c r="F158">
        <f t="shared" si="9"/>
        <v>32</v>
      </c>
      <c r="G158">
        <f t="shared" si="8"/>
        <v>1</v>
      </c>
      <c r="I158">
        <v>70.900000000000006</v>
      </c>
      <c r="J158">
        <v>429</v>
      </c>
      <c r="K158">
        <v>42</v>
      </c>
      <c r="L158" s="5"/>
    </row>
    <row r="159" spans="1:12" x14ac:dyDescent="0.2">
      <c r="A159">
        <v>21</v>
      </c>
      <c r="B159">
        <v>1</v>
      </c>
      <c r="C159" t="s">
        <v>9</v>
      </c>
      <c r="D159">
        <v>3</v>
      </c>
      <c r="E159">
        <v>0</v>
      </c>
      <c r="F159">
        <f t="shared" si="9"/>
        <v>32</v>
      </c>
      <c r="G159">
        <f>SUM(F159/32)</f>
        <v>1</v>
      </c>
      <c r="I159">
        <v>74.2</v>
      </c>
      <c r="J159">
        <v>410</v>
      </c>
      <c r="K159">
        <v>43</v>
      </c>
      <c r="L159" s="5"/>
    </row>
    <row r="160" spans="1:12" x14ac:dyDescent="0.2">
      <c r="A160">
        <v>21</v>
      </c>
      <c r="B160">
        <v>1</v>
      </c>
      <c r="C160" t="s">
        <v>15</v>
      </c>
      <c r="D160">
        <v>1</v>
      </c>
      <c r="E160">
        <v>0</v>
      </c>
      <c r="F160">
        <f t="shared" si="9"/>
        <v>32</v>
      </c>
      <c r="G160">
        <f>SUM(F160/32)</f>
        <v>1</v>
      </c>
      <c r="I160">
        <v>71.7</v>
      </c>
      <c r="J160">
        <v>424</v>
      </c>
      <c r="K160">
        <v>34</v>
      </c>
      <c r="L160" s="5"/>
    </row>
    <row r="161" spans="1:12" x14ac:dyDescent="0.2">
      <c r="A161">
        <v>21</v>
      </c>
      <c r="B161">
        <v>2</v>
      </c>
      <c r="C161" t="s">
        <v>9</v>
      </c>
      <c r="D161">
        <v>1</v>
      </c>
      <c r="E161">
        <v>1</v>
      </c>
      <c r="F161">
        <f t="shared" si="9"/>
        <v>31</v>
      </c>
      <c r="G161">
        <f t="shared" ref="G161:G184" si="10">SUM(F161/32)</f>
        <v>0.96875</v>
      </c>
      <c r="H161" t="s">
        <v>42</v>
      </c>
      <c r="I161">
        <v>50.7</v>
      </c>
      <c r="J161">
        <v>290</v>
      </c>
      <c r="K161">
        <v>60</v>
      </c>
      <c r="L161" s="5">
        <v>0.48739495798319327</v>
      </c>
    </row>
    <row r="162" spans="1:12" x14ac:dyDescent="0.2">
      <c r="A162">
        <v>21</v>
      </c>
      <c r="B162">
        <v>2</v>
      </c>
      <c r="C162" t="s">
        <v>9</v>
      </c>
      <c r="D162">
        <v>2</v>
      </c>
      <c r="E162">
        <v>1</v>
      </c>
      <c r="F162">
        <f t="shared" si="9"/>
        <v>31</v>
      </c>
      <c r="G162">
        <f t="shared" si="10"/>
        <v>0.96875</v>
      </c>
      <c r="H162" t="s">
        <v>42</v>
      </c>
      <c r="I162">
        <v>49.7</v>
      </c>
      <c r="J162">
        <v>273</v>
      </c>
      <c r="K162">
        <v>69</v>
      </c>
      <c r="L162" s="5"/>
    </row>
    <row r="163" spans="1:12" x14ac:dyDescent="0.2">
      <c r="A163">
        <v>21</v>
      </c>
      <c r="B163">
        <v>2</v>
      </c>
      <c r="C163" t="s">
        <v>9</v>
      </c>
      <c r="D163">
        <v>3</v>
      </c>
      <c r="E163">
        <v>1</v>
      </c>
      <c r="F163">
        <f t="shared" si="9"/>
        <v>31</v>
      </c>
      <c r="G163">
        <f t="shared" si="10"/>
        <v>0.96875</v>
      </c>
      <c r="H163" t="s">
        <v>42</v>
      </c>
      <c r="I163">
        <v>49.4</v>
      </c>
      <c r="J163">
        <v>266</v>
      </c>
      <c r="K163">
        <v>50</v>
      </c>
      <c r="L163" s="5"/>
    </row>
    <row r="164" spans="1:12" x14ac:dyDescent="0.2">
      <c r="A164">
        <v>21</v>
      </c>
      <c r="B164">
        <v>2</v>
      </c>
      <c r="C164" t="s">
        <v>15</v>
      </c>
      <c r="D164">
        <v>1</v>
      </c>
      <c r="E164">
        <v>2</v>
      </c>
      <c r="F164">
        <f t="shared" si="9"/>
        <v>30</v>
      </c>
      <c r="G164">
        <f t="shared" si="10"/>
        <v>0.9375</v>
      </c>
      <c r="H164" t="s">
        <v>69</v>
      </c>
      <c r="I164">
        <v>46.4</v>
      </c>
      <c r="J164">
        <v>271</v>
      </c>
      <c r="K164">
        <v>76</v>
      </c>
      <c r="L164" s="5"/>
    </row>
    <row r="165" spans="1:12" x14ac:dyDescent="0.2">
      <c r="A165">
        <v>23</v>
      </c>
      <c r="B165">
        <v>1</v>
      </c>
      <c r="C165" t="s">
        <v>9</v>
      </c>
      <c r="D165">
        <v>1</v>
      </c>
      <c r="E165">
        <v>1</v>
      </c>
      <c r="F165">
        <f t="shared" si="9"/>
        <v>31</v>
      </c>
      <c r="G165">
        <f t="shared" si="10"/>
        <v>0.96875</v>
      </c>
      <c r="H165" t="s">
        <v>21</v>
      </c>
      <c r="I165">
        <v>86.6</v>
      </c>
      <c r="J165">
        <v>549</v>
      </c>
      <c r="K165">
        <v>32</v>
      </c>
      <c r="L165" s="5">
        <v>0.58974358974358976</v>
      </c>
    </row>
    <row r="166" spans="1:12" x14ac:dyDescent="0.2">
      <c r="A166">
        <v>23</v>
      </c>
      <c r="B166">
        <v>1</v>
      </c>
      <c r="C166" t="s">
        <v>9</v>
      </c>
      <c r="D166">
        <v>2</v>
      </c>
      <c r="E166">
        <v>3</v>
      </c>
      <c r="F166">
        <f t="shared" si="9"/>
        <v>29</v>
      </c>
      <c r="G166">
        <f t="shared" si="10"/>
        <v>0.90625</v>
      </c>
      <c r="H166" t="s">
        <v>70</v>
      </c>
      <c r="I166">
        <v>83</v>
      </c>
      <c r="J166">
        <v>516</v>
      </c>
      <c r="K166">
        <v>38</v>
      </c>
      <c r="L166" s="5"/>
    </row>
    <row r="167" spans="1:12" x14ac:dyDescent="0.2">
      <c r="A167">
        <v>23</v>
      </c>
      <c r="B167">
        <v>1</v>
      </c>
      <c r="C167" t="s">
        <v>9</v>
      </c>
      <c r="D167">
        <v>3</v>
      </c>
      <c r="E167">
        <v>2</v>
      </c>
      <c r="F167">
        <f t="shared" si="9"/>
        <v>30</v>
      </c>
      <c r="G167">
        <f t="shared" si="10"/>
        <v>0.9375</v>
      </c>
      <c r="H167" t="s">
        <v>45</v>
      </c>
      <c r="I167">
        <v>79.3</v>
      </c>
      <c r="J167">
        <v>459</v>
      </c>
      <c r="K167">
        <v>61</v>
      </c>
      <c r="L167" s="5"/>
    </row>
    <row r="168" spans="1:12" x14ac:dyDescent="0.2">
      <c r="A168">
        <v>23</v>
      </c>
      <c r="B168">
        <v>1</v>
      </c>
      <c r="C168" t="s">
        <v>15</v>
      </c>
      <c r="D168">
        <v>1</v>
      </c>
      <c r="E168">
        <v>1</v>
      </c>
      <c r="F168">
        <f>SUM(32-E168)</f>
        <v>31</v>
      </c>
      <c r="G168">
        <f t="shared" si="10"/>
        <v>0.96875</v>
      </c>
      <c r="H168" t="s">
        <v>71</v>
      </c>
      <c r="I168">
        <v>87.2</v>
      </c>
      <c r="J168">
        <v>528</v>
      </c>
      <c r="K168">
        <v>25</v>
      </c>
      <c r="L168" s="5"/>
    </row>
    <row r="169" spans="1:12" x14ac:dyDescent="0.2">
      <c r="A169">
        <v>23</v>
      </c>
      <c r="B169">
        <v>2</v>
      </c>
      <c r="C169" t="s">
        <v>9</v>
      </c>
      <c r="D169">
        <v>1</v>
      </c>
      <c r="E169">
        <v>3</v>
      </c>
      <c r="F169">
        <f t="shared" ref="F169:F188" si="11">SUM(32-E169)</f>
        <v>29</v>
      </c>
      <c r="G169">
        <f t="shared" si="10"/>
        <v>0.90625</v>
      </c>
      <c r="H169" t="s">
        <v>72</v>
      </c>
      <c r="I169">
        <v>82.7</v>
      </c>
      <c r="J169">
        <v>498</v>
      </c>
      <c r="K169">
        <v>39</v>
      </c>
      <c r="L169" s="5">
        <v>0.5304347826086957</v>
      </c>
    </row>
    <row r="170" spans="1:12" x14ac:dyDescent="0.2">
      <c r="A170">
        <v>23</v>
      </c>
      <c r="B170">
        <v>2</v>
      </c>
      <c r="C170" t="s">
        <v>9</v>
      </c>
      <c r="D170">
        <v>2</v>
      </c>
      <c r="E170">
        <v>2</v>
      </c>
      <c r="F170">
        <f t="shared" si="11"/>
        <v>30</v>
      </c>
      <c r="G170">
        <f t="shared" si="10"/>
        <v>0.9375</v>
      </c>
      <c r="H170" t="s">
        <v>45</v>
      </c>
      <c r="I170">
        <v>83.2</v>
      </c>
      <c r="J170">
        <v>497</v>
      </c>
      <c r="K170">
        <v>36</v>
      </c>
      <c r="L170" s="5"/>
    </row>
    <row r="171" spans="1:12" x14ac:dyDescent="0.2">
      <c r="A171">
        <v>23</v>
      </c>
      <c r="B171">
        <v>2</v>
      </c>
      <c r="C171" t="s">
        <v>9</v>
      </c>
      <c r="D171">
        <v>3</v>
      </c>
      <c r="E171">
        <v>2</v>
      </c>
      <c r="F171">
        <f t="shared" si="11"/>
        <v>30</v>
      </c>
      <c r="G171">
        <f t="shared" si="10"/>
        <v>0.9375</v>
      </c>
      <c r="H171" t="s">
        <v>73</v>
      </c>
      <c r="I171">
        <v>81.599999999999994</v>
      </c>
      <c r="J171">
        <v>478</v>
      </c>
      <c r="K171">
        <v>46</v>
      </c>
      <c r="L171" s="5"/>
    </row>
    <row r="172" spans="1:12" x14ac:dyDescent="0.2">
      <c r="A172">
        <v>23</v>
      </c>
      <c r="B172">
        <v>2</v>
      </c>
      <c r="C172" t="s">
        <v>15</v>
      </c>
      <c r="D172">
        <v>1</v>
      </c>
      <c r="E172">
        <v>2</v>
      </c>
      <c r="F172">
        <f t="shared" si="11"/>
        <v>30</v>
      </c>
      <c r="G172">
        <f t="shared" si="10"/>
        <v>0.9375</v>
      </c>
      <c r="H172" t="s">
        <v>74</v>
      </c>
      <c r="I172">
        <v>78.2</v>
      </c>
      <c r="J172">
        <v>496</v>
      </c>
      <c r="K172">
        <v>34</v>
      </c>
      <c r="L172" s="5"/>
    </row>
    <row r="173" spans="1:12" x14ac:dyDescent="0.2">
      <c r="A173">
        <v>24</v>
      </c>
      <c r="B173">
        <v>1</v>
      </c>
      <c r="C173" t="s">
        <v>9</v>
      </c>
      <c r="D173">
        <v>1</v>
      </c>
      <c r="E173">
        <v>0</v>
      </c>
      <c r="F173">
        <f t="shared" si="11"/>
        <v>32</v>
      </c>
      <c r="G173">
        <f t="shared" si="10"/>
        <v>1</v>
      </c>
      <c r="I173">
        <v>87.8</v>
      </c>
      <c r="J173">
        <v>699</v>
      </c>
      <c r="K173">
        <v>50</v>
      </c>
      <c r="L173" s="5">
        <v>0.54166666666666663</v>
      </c>
    </row>
    <row r="174" spans="1:12" x14ac:dyDescent="0.2">
      <c r="A174">
        <v>24</v>
      </c>
      <c r="B174">
        <v>1</v>
      </c>
      <c r="C174" t="s">
        <v>9</v>
      </c>
      <c r="D174">
        <v>2</v>
      </c>
      <c r="E174">
        <v>0</v>
      </c>
      <c r="F174">
        <f t="shared" si="11"/>
        <v>32</v>
      </c>
      <c r="G174">
        <f t="shared" si="10"/>
        <v>1</v>
      </c>
      <c r="I174">
        <v>85.1</v>
      </c>
      <c r="J174">
        <v>667</v>
      </c>
      <c r="K174">
        <v>59</v>
      </c>
      <c r="L174" s="5"/>
    </row>
    <row r="175" spans="1:12" x14ac:dyDescent="0.2">
      <c r="A175">
        <v>24</v>
      </c>
      <c r="B175">
        <v>1</v>
      </c>
      <c r="C175" t="s">
        <v>9</v>
      </c>
      <c r="D175">
        <v>3</v>
      </c>
      <c r="E175">
        <v>0</v>
      </c>
      <c r="F175">
        <f t="shared" si="11"/>
        <v>32</v>
      </c>
      <c r="G175">
        <f t="shared" si="10"/>
        <v>1</v>
      </c>
      <c r="I175">
        <v>83.6</v>
      </c>
      <c r="J175">
        <v>576</v>
      </c>
      <c r="K175">
        <v>47</v>
      </c>
      <c r="L175" s="5"/>
    </row>
    <row r="176" spans="1:12" x14ac:dyDescent="0.2">
      <c r="A176">
        <v>24</v>
      </c>
      <c r="B176">
        <v>1</v>
      </c>
      <c r="C176" t="s">
        <v>15</v>
      </c>
      <c r="D176">
        <v>1</v>
      </c>
      <c r="E176">
        <v>0</v>
      </c>
      <c r="F176">
        <f t="shared" si="11"/>
        <v>32</v>
      </c>
      <c r="G176">
        <f t="shared" si="10"/>
        <v>1</v>
      </c>
      <c r="I176">
        <v>78.5</v>
      </c>
      <c r="J176">
        <v>478</v>
      </c>
      <c r="K176">
        <v>39</v>
      </c>
      <c r="L176" s="5"/>
    </row>
    <row r="177" spans="1:12" x14ac:dyDescent="0.2">
      <c r="A177">
        <v>24</v>
      </c>
      <c r="B177">
        <v>2</v>
      </c>
      <c r="C177" t="s">
        <v>9</v>
      </c>
      <c r="D177">
        <v>1</v>
      </c>
      <c r="E177">
        <v>0</v>
      </c>
      <c r="F177">
        <f t="shared" si="11"/>
        <v>32</v>
      </c>
      <c r="G177">
        <f t="shared" si="10"/>
        <v>1</v>
      </c>
      <c r="I177">
        <v>63.6</v>
      </c>
      <c r="J177">
        <v>4419</v>
      </c>
      <c r="K177">
        <v>87</v>
      </c>
      <c r="L177" s="5">
        <v>0.49579831932773111</v>
      </c>
    </row>
    <row r="178" spans="1:12" x14ac:dyDescent="0.2">
      <c r="A178">
        <v>24</v>
      </c>
      <c r="B178">
        <v>2</v>
      </c>
      <c r="C178" t="s">
        <v>9</v>
      </c>
      <c r="D178">
        <v>2</v>
      </c>
      <c r="E178">
        <v>0</v>
      </c>
      <c r="F178">
        <f t="shared" si="11"/>
        <v>32</v>
      </c>
      <c r="G178">
        <f t="shared" si="10"/>
        <v>1</v>
      </c>
      <c r="I178">
        <v>57.1</v>
      </c>
      <c r="J178">
        <v>388</v>
      </c>
      <c r="K178">
        <v>130</v>
      </c>
      <c r="L178" s="5"/>
    </row>
    <row r="179" spans="1:12" x14ac:dyDescent="0.2">
      <c r="A179">
        <v>24</v>
      </c>
      <c r="B179">
        <v>2</v>
      </c>
      <c r="C179" t="s">
        <v>9</v>
      </c>
      <c r="D179">
        <v>3</v>
      </c>
      <c r="E179">
        <v>1</v>
      </c>
      <c r="F179">
        <f t="shared" si="11"/>
        <v>31</v>
      </c>
      <c r="G179">
        <f t="shared" si="10"/>
        <v>0.96875</v>
      </c>
      <c r="H179" t="s">
        <v>75</v>
      </c>
      <c r="I179">
        <v>50.6</v>
      </c>
      <c r="J179">
        <v>334</v>
      </c>
      <c r="K179">
        <v>92</v>
      </c>
      <c r="L179" s="5"/>
    </row>
    <row r="180" spans="1:12" x14ac:dyDescent="0.2">
      <c r="A180">
        <v>24</v>
      </c>
      <c r="B180">
        <v>2</v>
      </c>
      <c r="C180" t="s">
        <v>15</v>
      </c>
      <c r="D180">
        <v>1</v>
      </c>
      <c r="E180">
        <v>2</v>
      </c>
      <c r="F180">
        <f t="shared" si="11"/>
        <v>30</v>
      </c>
      <c r="G180">
        <f t="shared" si="10"/>
        <v>0.9375</v>
      </c>
      <c r="H180" t="s">
        <v>76</v>
      </c>
      <c r="I180">
        <v>74.5</v>
      </c>
      <c r="J180">
        <v>436</v>
      </c>
      <c r="K180">
        <v>37</v>
      </c>
      <c r="L180" s="5"/>
    </row>
    <row r="181" spans="1:12" x14ac:dyDescent="0.2">
      <c r="A181">
        <v>25</v>
      </c>
      <c r="B181">
        <v>1</v>
      </c>
      <c r="C181" t="s">
        <v>9</v>
      </c>
      <c r="D181">
        <v>1</v>
      </c>
      <c r="E181">
        <v>0</v>
      </c>
      <c r="F181">
        <f t="shared" si="11"/>
        <v>32</v>
      </c>
      <c r="G181">
        <f t="shared" si="10"/>
        <v>1</v>
      </c>
      <c r="I181">
        <v>43.5</v>
      </c>
      <c r="J181">
        <v>294</v>
      </c>
      <c r="K181">
        <v>100</v>
      </c>
      <c r="L181" s="5">
        <v>0.61538461538461542</v>
      </c>
    </row>
    <row r="182" spans="1:12" x14ac:dyDescent="0.2">
      <c r="A182">
        <v>25</v>
      </c>
      <c r="B182">
        <v>1</v>
      </c>
      <c r="C182" t="s">
        <v>9</v>
      </c>
      <c r="D182">
        <v>2</v>
      </c>
      <c r="E182">
        <v>3</v>
      </c>
      <c r="F182">
        <f t="shared" si="11"/>
        <v>29</v>
      </c>
      <c r="G182">
        <f t="shared" si="10"/>
        <v>0.90625</v>
      </c>
      <c r="H182" t="s">
        <v>77</v>
      </c>
      <c r="I182">
        <v>65</v>
      </c>
      <c r="J182">
        <v>381</v>
      </c>
      <c r="K182">
        <v>78</v>
      </c>
      <c r="L182" s="5"/>
    </row>
    <row r="183" spans="1:12" x14ac:dyDescent="0.2">
      <c r="A183">
        <v>25</v>
      </c>
      <c r="B183">
        <v>1</v>
      </c>
      <c r="C183" t="s">
        <v>9</v>
      </c>
      <c r="D183">
        <v>3</v>
      </c>
      <c r="E183">
        <v>2</v>
      </c>
      <c r="F183">
        <f t="shared" si="11"/>
        <v>30</v>
      </c>
      <c r="G183">
        <f t="shared" si="10"/>
        <v>0.9375</v>
      </c>
      <c r="H183" t="s">
        <v>78</v>
      </c>
      <c r="I183">
        <v>59.4</v>
      </c>
      <c r="J183">
        <v>347</v>
      </c>
      <c r="K183">
        <v>80</v>
      </c>
      <c r="L183" s="5"/>
    </row>
    <row r="184" spans="1:12" x14ac:dyDescent="0.2">
      <c r="A184">
        <v>25</v>
      </c>
      <c r="B184">
        <v>1</v>
      </c>
      <c r="C184" t="s">
        <v>15</v>
      </c>
      <c r="D184">
        <v>1</v>
      </c>
      <c r="E184">
        <v>1</v>
      </c>
      <c r="F184">
        <f t="shared" si="11"/>
        <v>31</v>
      </c>
      <c r="G184">
        <f t="shared" si="10"/>
        <v>0.96875</v>
      </c>
      <c r="H184" t="s">
        <v>21</v>
      </c>
      <c r="I184">
        <v>58.1</v>
      </c>
      <c r="J184">
        <v>332</v>
      </c>
      <c r="K184">
        <v>81</v>
      </c>
      <c r="L184" s="5"/>
    </row>
    <row r="185" spans="1:12" x14ac:dyDescent="0.2">
      <c r="A185">
        <v>25</v>
      </c>
      <c r="B185">
        <v>2</v>
      </c>
      <c r="C185" t="s">
        <v>9</v>
      </c>
      <c r="D185">
        <v>1</v>
      </c>
      <c r="E185">
        <v>2</v>
      </c>
      <c r="F185">
        <f t="shared" si="11"/>
        <v>30</v>
      </c>
      <c r="G185">
        <f>SUM(F185/32)</f>
        <v>0.9375</v>
      </c>
      <c r="H185" t="s">
        <v>79</v>
      </c>
      <c r="I185">
        <v>36.200000000000003</v>
      </c>
      <c r="J185">
        <v>215</v>
      </c>
      <c r="K185">
        <v>80</v>
      </c>
      <c r="L185" s="5">
        <v>0.4956521739130435</v>
      </c>
    </row>
    <row r="186" spans="1:12" x14ac:dyDescent="0.2">
      <c r="A186">
        <v>25</v>
      </c>
      <c r="B186">
        <v>2</v>
      </c>
      <c r="C186" t="s">
        <v>9</v>
      </c>
      <c r="D186">
        <v>2</v>
      </c>
      <c r="E186">
        <v>2</v>
      </c>
      <c r="F186">
        <f t="shared" si="11"/>
        <v>30</v>
      </c>
      <c r="G186">
        <f t="shared" ref="G186:G188" si="12">SUM(F186/32)</f>
        <v>0.9375</v>
      </c>
      <c r="H186" t="s">
        <v>79</v>
      </c>
      <c r="I186">
        <v>51.4</v>
      </c>
      <c r="J186">
        <v>283</v>
      </c>
      <c r="K186">
        <v>82</v>
      </c>
      <c r="L186" s="5"/>
    </row>
    <row r="187" spans="1:12" x14ac:dyDescent="0.2">
      <c r="A187">
        <v>25</v>
      </c>
      <c r="B187">
        <v>2</v>
      </c>
      <c r="C187" t="s">
        <v>9</v>
      </c>
      <c r="D187">
        <v>3</v>
      </c>
      <c r="E187">
        <v>2</v>
      </c>
      <c r="F187">
        <f t="shared" si="11"/>
        <v>30</v>
      </c>
      <c r="G187">
        <f t="shared" si="12"/>
        <v>0.9375</v>
      </c>
      <c r="H187" t="s">
        <v>79</v>
      </c>
      <c r="I187">
        <v>40.9</v>
      </c>
      <c r="J187">
        <v>225</v>
      </c>
      <c r="K187">
        <v>68</v>
      </c>
      <c r="L187" s="5"/>
    </row>
    <row r="188" spans="1:12" x14ac:dyDescent="0.2">
      <c r="A188">
        <v>25</v>
      </c>
      <c r="B188">
        <v>2</v>
      </c>
      <c r="C188" t="s">
        <v>15</v>
      </c>
      <c r="D188">
        <v>1</v>
      </c>
      <c r="E188">
        <v>3</v>
      </c>
      <c r="F188">
        <f t="shared" si="11"/>
        <v>29</v>
      </c>
      <c r="G188">
        <f t="shared" si="12"/>
        <v>0.90625</v>
      </c>
      <c r="H188" t="s">
        <v>80</v>
      </c>
      <c r="I188">
        <v>59</v>
      </c>
      <c r="J188">
        <v>347</v>
      </c>
      <c r="K188">
        <v>65</v>
      </c>
      <c r="L188" s="5"/>
    </row>
    <row r="190" spans="1:12" x14ac:dyDescent="0.2">
      <c r="F190">
        <f>AVERAGE(F2:F188)</f>
        <v>30.582887700534759</v>
      </c>
    </row>
    <row r="191" spans="1:12" x14ac:dyDescent="0.2">
      <c r="A191" s="4" t="s">
        <v>81</v>
      </c>
      <c r="F191">
        <f>F190/32</f>
        <v>0.95571524064171121</v>
      </c>
      <c r="I191">
        <f>AVERAGE(I2:I188)</f>
        <v>63.41818181818185</v>
      </c>
    </row>
  </sheetData>
  <mergeCells count="47">
    <mergeCell ref="L21:L24"/>
    <mergeCell ref="L2:L5"/>
    <mergeCell ref="L6:L9"/>
    <mergeCell ref="L10:L13"/>
    <mergeCell ref="L14:L17"/>
    <mergeCell ref="L18:L20"/>
    <mergeCell ref="L69:L72"/>
    <mergeCell ref="L25:L28"/>
    <mergeCell ref="L29:L32"/>
    <mergeCell ref="L33:L36"/>
    <mergeCell ref="L37:L40"/>
    <mergeCell ref="L41:L44"/>
    <mergeCell ref="L45:L48"/>
    <mergeCell ref="L49:L52"/>
    <mergeCell ref="L53:L56"/>
    <mergeCell ref="L57:L60"/>
    <mergeCell ref="L61:L64"/>
    <mergeCell ref="L65:L68"/>
    <mergeCell ref="L117:L120"/>
    <mergeCell ref="L73:L76"/>
    <mergeCell ref="L77:L80"/>
    <mergeCell ref="L81:L84"/>
    <mergeCell ref="L85:L88"/>
    <mergeCell ref="L89:L92"/>
    <mergeCell ref="L93:L96"/>
    <mergeCell ref="L97:L100"/>
    <mergeCell ref="L101:L104"/>
    <mergeCell ref="L105:L108"/>
    <mergeCell ref="L109:L112"/>
    <mergeCell ref="L113:L116"/>
    <mergeCell ref="L165:L168"/>
    <mergeCell ref="L121:L124"/>
    <mergeCell ref="L125:L128"/>
    <mergeCell ref="L129:L132"/>
    <mergeCell ref="L133:L136"/>
    <mergeCell ref="L137:L140"/>
    <mergeCell ref="L141:L144"/>
    <mergeCell ref="L145:L148"/>
    <mergeCell ref="L149:L152"/>
    <mergeCell ref="L153:L156"/>
    <mergeCell ref="L157:L160"/>
    <mergeCell ref="L161:L164"/>
    <mergeCell ref="L169:L172"/>
    <mergeCell ref="L173:L176"/>
    <mergeCell ref="L177:L180"/>
    <mergeCell ref="L181:L184"/>
    <mergeCell ref="L185:L1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Shareef-Trudeau,Lotus</dc:creator>
  <cp:lastModifiedBy>Shareef-Trudeau,Lotus</cp:lastModifiedBy>
  <dcterms:created xsi:type="dcterms:W3CDTF">2025-07-11T19:26:10Z</dcterms:created>
  <dcterms:modified xsi:type="dcterms:W3CDTF">2025-07-20T19:20:29Z</dcterms:modified>
</cp:coreProperties>
</file>